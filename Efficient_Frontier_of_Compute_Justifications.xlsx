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ot Justifications" sheetId="1" state="visible" r:id="rId3"/>
    <sheet name="Matrix Exampl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<sst xmlns="http://schemas.openxmlformats.org/spreadsheetml/2006/main" count="640" uniqueCount="341">
  <si>
    <t xml:space="preserve">System</t>
  </si>
  <si>
    <t xml:space="preserve">Energy component</t>
  </si>
  <si>
    <t xml:space="preserve">Task</t>
  </si>
  <si>
    <t xml:space="preserve">Bit math explained</t>
  </si>
  <si>
    <t xml:space="preserve">Bit math demonstrated</t>
  </si>
  <si>
    <t xml:space="preserve">Component value</t>
  </si>
  <si>
    <t xml:space="preserve">Unit</t>
  </si>
  <si>
    <t xml:space="preserve">Math: source to this component</t>
  </si>
  <si>
    <t xml:space="preserve">Assumptions for this component</t>
  </si>
  <si>
    <t xml:space="preserve">Sources for those assumptions</t>
  </si>
  <si>
    <t xml:space="preserve">Source for this energy figure</t>
  </si>
  <si>
    <t xml:space="preserve">Allocation fraction</t>
  </si>
  <si>
    <t xml:space="preserve">TOTAL POWER (W)</t>
  </si>
  <si>
    <t xml:space="preserve">Task time (s)</t>
  </si>
  <si>
    <t xml:space="preserve">TOTAL ENERGY (J)</t>
  </si>
  <si>
    <t xml:space="preserve">Bits resolved</t>
  </si>
  <si>
    <t xml:space="preserve">J PER BIT</t>
  </si>
  <si>
    <t xml:space="preserve">s PER BIT</t>
  </si>
  <si>
    <t xml:space="preserve">TIER</t>
  </si>
  <si>
    <t xml:space="preserve">DECLARED BASIS (what the wall plug includes)</t>
  </si>
  <si>
    <t xml:space="preserve">Notes</t>
  </si>
  <si>
    <t xml:space="preserve">HUMAN BRAIN. One adult human brain, whole organ, at inference. Nothing subtracted: sensory, motor, homeostatic regulation and deliberation all included, because the LLM's internal activation is likewise not subtracted. Excludes evolution, growth, parenting, and the body's non-brain work.</t>
  </si>
  <si>
    <t xml:space="preserve">1. Neural tissue</t>
  </si>
  <si>
    <t xml:space="preserve">1. Produce short reply ~110 words</t>
  </si>
  <si>
    <t xml:space="preserve">Bits are defined as log2(distinguishable outcomes the system commits to in its output); input is not counted toward the bit total. A system that reads an entire library and produces no answer has resolved zero bits; a system that reads the same library and outputs "buy" has resolved one bit. This convention keeps the axis a measure of computation performed rather than of data throughput. Text output is scored using the empirical entropy of written English, 1.12 bits per character (Takahashi and Tanaka-Ishii, 2018, DOI 10.3390/e20110839), rather than the naive log2(26) = 4.70 bits per letter, which overstates entropy by ignoring the statistical structure of language. Input time is charged in full to both systems, since reading is real work with a real energy cost; it simply does not contribute to the bit count.</t>
  </si>
  <si>
    <t xml:space="preserve">110 words x 5.3 char = 583 char x 1.12 = 652.96 bits</t>
  </si>
  <si>
    <t xml:space="preserve">W</t>
  </si>
  <si>
    <t xml:space="preserve">Whole-organ metabolic power. Not allocated; this IS the compute.</t>
  </si>
  <si>
    <t xml:space="preserve">The measurement lineage traces to Kety and Schmidt's nitrous-oxide whole-brain method. The figure is corroborated by three independent approaches: Elia's organ-specific metabolic constant applied to Reference Man mass (16.3 W); whole-brain cerebral metabolic rate (20.0 W); and Herculano-Houzel's per-neuron energy constant applied to 86 billion neurons (24.7 W). These estimates agree within ±25%. The resting-state figure is applied to an active task, which is conservative in the brain's favor, since task-evoked increases in cerebral metabolism are only a few percent above baseline.</t>
  </si>
  <si>
    <t xml:space="preserve">Kety &amp; Schmidt 1948, J Clin Invest 27(4):476-483, DOI 10.1172/JCI101994 (DOI verified). Levy &amp; Calvert 2021, PNAS 118:e2008173118, DOI 10.1073/pnas.2008173118 (cortical breakdown only, NOT the 20 W).</t>
  </si>
  <si>
    <t xml:space="preserve">SOURCED - DOI verified.</t>
  </si>
  <si>
    <t xml:space="preserve">n/a</t>
  </si>
  <si>
    <t xml:space="preserve">T2 - envelope sourced, task timings mixed</t>
  </si>
  <si>
    <t xml:space="preserve">Whole-organism wall plug (7 components, biological PUE 1.2334)</t>
  </si>
  <si>
    <t xml:space="preserve">25.21 s to read the 100-word prompt at 238 words per minute, plus 44.00 s to produce 110 words at 150 words per minute, giving 69.21 s in total. The prompt-reading time is charged to the brain in the same way prefill time is charged to the LLM, so both systems pay for processing the input. The 150 words-per-minute figure for spontaneous speech is slower than Brysbaert's 183 words-per-minute figure for oral reading, which is the appropriate direction for extemporaneous production, though it remains an estimate rather than a direct measurement. Brysbaert 2019, Journal of Memory and Language 109:104047, DOI 10.1016/j.jml.2019.104047. Meta-analysis of 190 studies and 18,573 participants: 238 wpm for silent reading of non-fiction, 183 wpm for reading aloud.</t>
  </si>
  <si>
    <t xml:space="preserve">2. Cardiac share</t>
  </si>
  <si>
    <t xml:space="preserve">Heart 0.33 kg x 440 kcal/kg/day x (4184 J/kcal / 86400 s/day) = 7.031 W. Brain takes ~750 of ~5,000 mL/min cardiac output = 15%. 7.031 x 0.15 = 1.0547 W.</t>
  </si>
  <si>
    <t xml:space="preserve">The derivation is expressed as a live formula in column F rather than a static value, so the arithmetic can be audited directly in the cell. The heart also removes the brain's metabolic waste heat, which is why the thermoregulation component (row 7) is set to zero. One caveat: cardiac work scales with pressure times flow, and the cerebral vascular bed is comparatively low-resistance, so a pure flow-share allocation may modestly overstate the brain's cardiac cost; the effect is under 0.2 W in either direction.</t>
  </si>
  <si>
    <t xml:space="preserve">Elia 1992, in Energy Metabolism: Tissue Determinants, Raven Press pp.61-79 (organ Ki). ICRP Publication 89 Reference Man (organ mass). NCBI Basic Neurochemistry NBK28194 (15% of cardiac output).</t>
  </si>
  <si>
    <t xml:space="preserve">Well sourced.</t>
  </si>
  <si>
    <t xml:space="preserve">0.15</t>
  </si>
  <si>
    <t xml:space="preserve">3. Hepatic share</t>
  </si>
  <si>
    <t xml:space="preserve">Liver 1.80 kg x 200 kcal/kg/day x (4184/86400) = 17.433 W. Gluconeogenesis ~20% of hepatic ATP. Brain takes 25% of body glucose. 17.433 x 0.20 x 0.25 = 0.8717 W.</t>
  </si>
  <si>
    <t xml:space="preserve">The 25% glucose-share figure is well supported in the literature. The 20% gluconeogenesis share of hepatic ATP turnover is an estimate drawn from the broader hepatic ATP budget (protein synthesis approximately 25-30%, gluconeogenesis 15-20%, urea cycle 10-15%, Na/K-ATPase approximately 10%). A related caveat, not yet resolved: this component and the digestive component (row 6) both charge the brain 25% of a glucose-supply cost, but gluconeogenesis dominates in the fasted state while gut absorption dominates in the fed state. Charging both at full rate implicitly assumes the brain is simultaneously fed and fasting, which overstates the envelope by up to 0.87 W (3.5%). Correcting this would lower every brain-side J/bit figure by roughly 3.5% and would not change any brain-vs-LLM ratio by more than 0.1x.</t>
  </si>
  <si>
    <t xml:space="preserve">Elia 1992, in Energy Metabolism: Tissue Determinants, Raven Press pp.61-79 (organ Ki). ICRP Publication 89 Reference Man (organ mass). Springer, Cerebral Metabolism and Function (25% glucose share).</t>
  </si>
  <si>
    <t xml:space="preserve">The glucose-share figure is well sourced; the gluconeogenesis fraction is an estimate.</t>
  </si>
  <si>
    <t xml:space="preserve">0.05</t>
  </si>
  <si>
    <t xml:space="preserve">4. Renal share</t>
  </si>
  <si>
    <t xml:space="preserve">Kidneys 0.31 kg x 440 kcal/kg/day x (4184/86400) = 6.605 W. Allocated 15% by waste-load share. 6.605 x 0.15 = 0.9908 W.</t>
  </si>
  <si>
    <t xml:space="preserve">The allocation is based on waste-load share rather than blood-flow share: the kidneys receive roughly 20-25% of cardiac output in their own right, and the brain does not perfuse them directly, so a flow-based rationale would not be coherent here. The waste-load rationale is itself an estimate, and probably generous to the brain: the brain is a comparatively minor nitrogen producer, exporting mostly CO2 (cleared by the lungs, not the kidneys) and glutamine. A plausible 0-15% range would move this component between 0 and 0.99 W, at most 4% of the total envelope.</t>
  </si>
  <si>
    <t xml:space="preserve">Elia 1992, in Energy Metabolism: Tissue Determinants, Raven Press pp.61-79 (organ Ki). ICRP Publication 89 Reference Man (organ mass).</t>
  </si>
  <si>
    <t xml:space="preserve">Organ power is well sourced; the allocation rule is an estimate.</t>
  </si>
  <si>
    <t xml:space="preserve">5. Respiratory share</t>
  </si>
  <si>
    <t xml:space="preserve">Respiratory muscles ~2.5 W. Brain consumes 20% of whole-body oxygen. 2.50 x 0.20 = 0.50 W.</t>
  </si>
  <si>
    <t xml:space="preserve">The 20% oxygen-consumption share is well sourced and corroborated by multiple lines of evidence. The 2.5 W respiratory-muscle figure is an estimate but reasonably well bracketed: the resting work of breathing is typically 1-3% of resting VO2, which at 85-100 W whole-body power implies 1-3 W. The 2.5 W figure used here sits at the upper end of that range, making it conservative; a twofold error would change the total envelope by under 2%.</t>
  </si>
  <si>
    <t xml:space="preserve">NCBI Basic Neurochemistry NBK28194 and PMC2949253 (brain = 20% of body O2). Work of breathing 1-3% of resting VO2: standard respiratory physiology.</t>
  </si>
  <si>
    <t xml:space="preserve">The oxygen-share figure is well sourced; the respiratory-muscle power figure is an estimate.</t>
  </si>
  <si>
    <t xml:space="preserve">0.20</t>
  </si>
  <si>
    <t xml:space="preserve">6. Digestive share</t>
  </si>
  <si>
    <t xml:space="preserve">GI tract ~5 W. Brain takes 25% of body glucose, so is charged 25% of the work of liberating it. 5.00 x 0.25 = 1.25 W.</t>
  </si>
  <si>
    <t xml:space="preserve">This is the least well-supported component in the envelope. Elia's tables place the GI tract within a residual category at 12 kcal/kg/day, which for a roughly 1.2 kg gut implies 0.70 W, while splanchnic oxygen-consumption studies imply 7-9 W. The 5 W figure used here is a midpoint of that approximately thirteenfold range rather than a direct measurement. The 25% glucose share is well sourced (see the fed/fasted double-charge noted under the hepatic component). Setting this entire component to zero would change the total envelope by only about 5%.</t>
  </si>
  <si>
    <t xml:space="preserve">Springer, Cerebral Metabolism and Function (25% glucose share). Elia 1992 residual category (12 kcal/kg/day).</t>
  </si>
  <si>
    <t xml:space="preserve">The glucose-share figure is well sourced; the GI-tract power figure is an estimate spanning a roughly thirteenfold range.</t>
  </si>
  <si>
    <t xml:space="preserve">0.25</t>
  </si>
  <si>
    <t xml:space="preserve">7. Thermoregulation</t>
  </si>
  <si>
    <t xml:space="preserve">Zero, which reflects the underlying physiology rather than an omission. At thermoneutral rest, heat removal is passive, and cerebral blood flow already carries the brain's metabolic waste heat away; that work is already accounted for in the cardiac component (row 2).</t>
  </si>
  <si>
    <t xml:space="preserve">A nonzero value here would double-count the cardiac component. This term becomes nonzero only outside thermoneutral conditions (active sweating or shivering), which does not apply to the inference scenario modeled here. By design, each side of the model, brain and LLM, carries exactly one component set to zero for a stated physical reason: this one on the brain side, and the facility-overhead component on the LLM side.</t>
  </si>
  <si>
    <t xml:space="preserve">Cerebral blood flow maintains brain temperature at ~37.5 C: standard cerebral physiology.</t>
  </si>
  <si>
    <t xml:space="preserve">Not applicable. Listed at zero to make the reasoning visible.</t>
  </si>
  <si>
    <t xml:space="preserve">0.00</t>
  </si>
  <si>
    <t xml:space="preserve">FRONTIER LLM (GPT-4o-class, 2025). One H100-class inference stack under batch-optimised production serving, at inference. Includes prefill, attention over full context, decode, reasoning tokens, and facility overhead. Excludes training, fabrication, construction, and R&amp;D. The model is identified by class and year rather than as "frontier" without qualification, since Epoch's reference figure (GPT-4o, February 2025) will not remain the frontier model indefinitely.</t>
  </si>
  <si>
    <t xml:space="preserve">1. GPU + server + facility (Epoch's 1,500 W per GPU)</t>
  </si>
  <si>
    <t xml:space="preserve">1,050 W effective cluster power (1,500 W per H100 incl. server and datacenter overhead x 70% utilisation). Device occupancy = 1 H100-second per 500 tokens = 0.002 s/token, i.e. 2.10 J/token. 132.5 prefill + 145.75 decode = 278.25 tokens.</t>
  </si>
  <si>
    <t xml:space="preserve">Epoch's 0.3 Wh-per-query figure is a model rather than a direct measurement: one H100-second per query, at 1,500 W and 70% power utilization, yields 1,050 J. It is corroborated by OpenAI's reported figure of approximately 0.34 Wh and the IEA's broader range of 0.1-0.6 Wh, and is therefore reasonably well bracketed even though it has not been independently metered. This is the single weakest input on the LLM side of the model, and the entire LLM energy envelope depends on it. The treatment used here applies Epoch's own reported quantities directly, at 1,050 W of effective cluster power against device-occupancy time, using a flat rate of 2.10 J per token for both prefill and decode.</t>
  </si>
  <si>
    <t xml:space="preserve">Epoch AI 2025 (Josh You), 'How much energy does ChatGPT use?'; Patel et al. ASPLOS 2024 (70% of TDP); NVIDIA DGX H100 spec (1,275 W per GPU).</t>
  </si>
  <si>
    <t xml:space="preserve">Epoch AI, https://epoch.ai/gradient-updates/how-much-energy-does-chatgpt-use</t>
  </si>
  <si>
    <t xml:space="preserve">T2 - rests entirely on Epoch's estimate</t>
  </si>
  <si>
    <t xml:space="preserve">Full facility wall plug (GPU + server + datacenter)</t>
  </si>
  <si>
    <t xml:space="preserve">132.5 prefill + 145.75 decode = 278.25 tokens.</t>
  </si>
  <si>
    <t xml:space="preserve">2. Facility: cooling, power delivery, host, network</t>
  </si>
  <si>
    <t xml:space="preserve">ZERO. Already inside component 1. See column I.</t>
  </si>
  <si>
    <t xml:space="preserve">Zero, which reflects how the underlying figure is constructed rather than an omission. Epoch's reported 1,500 W per GPU is not the bare 700 W device; it already reflects a DGX-class server at approximately 1,275 W per GPU, plus an additional 10-20% of datacenter-level overhead. Cooling, power delivery, host CPU, memory, networking, and general facility load are therefore already embedded in the 1,050 W figure used above. Listing this component at zero, mirroring the brain's thermoregulation component, keeps that accounting visible rather than implicit. On this basis, the brain's biological PUE (1.2334) and a hyperscale datacenter's PUE (approximately 1.2) are nearly identical, with each overhead now counted exactly once rather than twice on one side.</t>
  </si>
  <si>
    <t xml:space="preserve">Epoch AI 2025, footnote 4: DGX H100 = 1,275 W per GPU, plus 10-20% datacenter-level overhead.</t>
  </si>
  <si>
    <t xml:space="preserve">2. Choose the best move in a sharp chess position</t>
  </si>
  <si>
    <t xml:space="preserve">log2(~4 serious candidate moves in a sharp position) = 2 bits</t>
  </si>
  <si>
    <t xml:space="preserve">Same 24.67 W whole-organism envelope as every brain task (components sum in column M). Time = 180 s: classical tournament control is 40 moves in 2 hours = 180 s/move average, the same control used in the 1997 Kasparov-Deep Blue match. Energy = 24.67 W x 180 s = 4440 J. 4440 / 2 bits = 2220 J/bit.</t>
  </si>
  <si>
    <t xml:space="preserve">Bits are counted by the size of the serious candidate-move set rather than by the full legal-move count, so that the denominator scales with the actual difficulty of the position, rather than remaining fixed regardless of question difficulty as in a multiple-choice format. In a sharp middlegame, a master typically considers only 2-4 genuinely playable moves out of roughly 35 legal ones (de Groot's candidate-move findings; most legal moves are dismissed essentially instantly and are not real alternatives to a strong player). A difficult position is used deliberately here, with approximately 4 serious candidates corresponding to 2 bits. Because both the human and the engine resolve the same position, bits cancel in the brain-vs-LLM ratio, so the comparison is robust even though the absolute 2-bit count reflects a modeling choice. That choice is the primary source of uncertainty in this row: with 2 candidates (1 bit), the J/bit figure doubles; with 8 candidates (3 bits), it halves.</t>
  </si>
  <si>
    <t xml:space="preserve">de Groot 1965, 'Thought and Choice in Chess' (masters evaluate a small candidate set, not all legal moves). Shannon 1950, 'Programming a Computer for Playing Chess', Phil. Mag. 41:256 (game-tree framing). Time control: 1997 match regulations, 40 moves / 2 hours.</t>
  </si>
  <si>
    <t xml:space="preserve">Brain envelope: Kety &amp; Schmidt 1948, DOI 10.1172/JCI101994. Candidate-move concept: de Groot 1965.</t>
  </si>
  <si>
    <t xml:space="preserve">T2 - envelope sourced, candidate-set size is a declared assumption</t>
  </si>
  <si>
    <t xml:space="preserve">Bits track difficulty through the size of the candidate-move set, rather than a fixed four-option answer space as in a multiple-choice format.</t>
  </si>
  <si>
    <t xml:space="preserve">1,050 W effective cluster power x 2.10 J/token. Tokens = 79.5 prefill (position description) + ~800 reasoning tokens + 5 for the move = 884.5 tokens. Energy = 884.5 x 2.10 = 1857 J. /2 bits = 929 J/bit. Same 2.10 J/token basis as every LLM task; reasoning tokens are OUTPUT so they are counted, which is how difficulty enters on the LLM side (through the numerator).</t>
  </si>
  <si>
    <t xml:space="preserve">Counterpart to the grandmaster on the same position, so bits cancel in the ratio. Reasoning-token count (~800) is an estimate for a move-selection prompt on a frontier model - lighter than AIME's ~10,000 because a single move needs less search than a full competition proof. At 400 tokens the LLM roughly halves; at 2,000 it roughly doubles. The 2-bit denominator is shared with the brain and is the candidate-move count (see brain row).</t>
  </si>
  <si>
    <t xml:space="preserve">Epoch AI 2025 (2.10 J/token basis, as all LLM tasks). Reasoning-token estimate: order-of-magnitude for move selection.</t>
  </si>
  <si>
    <t xml:space="preserve">T3 - reasoning-token count estimated</t>
  </si>
  <si>
    <t xml:space="preserve">LLM counterpart to the grandmaster move on the same position.</t>
  </si>
  <si>
    <t xml:space="preserve">3. Read 80k-word book, give one-word verdict  [INPUT-BIT BASIS - exception, see notes]</t>
  </si>
  <si>
    <t xml:space="preserve">80,000 words x 5.3 char x 1.12 = 474,880 bits (INPUT basis, exception)</t>
  </si>
  <si>
    <t xml:space="preserve">The measurement lineage traces to Kety and Schmidt's nitrous-oxide whole-brain method, not to Levy and Calvert, whose cortical model totals 4.94 ATP-watts (of which 3.5 W is long-distance signaling) and reports the 20 W figure as background context rather than as its own result. The figure is corroborated by three independent approaches: Elia's organ-specific metabolic constant applied to Reference Man mass (16.3 W); whole-brain cerebral metabolic rate (20.0 W); and Herculano-Houzel's per-neuron energy constant applied to 86 billion neurons (24.7 W). These estimates agree within ±25%. The resting-state figure is applied to an active task, which is conservative in the brain's favor, since task-evoked increases in cerebral metabolism are only a few percent above baseline.</t>
  </si>
  <si>
    <t xml:space="preserve">This task departs, deliberately, from the output-bits convention used everywhere else in the model. Every other comparison task counts output bits only; this one instead counts the 80,000 words ingested (80,000 x 5.3 characters per word x 1.12 bits per character = 474,880 bits). The effect is to move the book task from the most expensive point in the model under output-only accounting (approximately 83,800 J/bit against a one-word verdict of 5.94 bits) to a value near the reading floor (approximately 1.05 J/bit for the brain, 0.30 J/bit for the LLM), since energy is unchanged and only the denominator differs. This is included deliberately, to show the same physical event priced roughly eighty-thousand-fold apart depending purely on which quantity is placed in the denominator - the clearest illustration in the model of the point that the choice of denominator is itself a modeling decision, not a measurement. The brain-vs-LLM ratio is 3.45x under the Epoch prefill figure used here (2.24x under the uniform token rate); the choice of bit convention does not affect it, since bits cancel in the ratio. This row should not be averaged with the output-bit rows; it is expressed on a different basis.</t>
  </si>
  <si>
    <t xml:space="preserve">1,050 W effective cluster power (1,500 W per H100 incl. server and datacenter overhead x 70% utilisation). 106,000 prefill + 1 decode tokens. This task uses Epoch's separately published ~40 Wh (144,000 J) for a ~100k-token input instead of the flat 2.10 J/token rate applied elsewhere, because Epoch credits prefill with higher GPU utilisation than decode; the uniform rate would give 222,602 J, 1.55x higher. Device-occupancy time is set so that 1,050 W x time = 144,000 J (137.14 s). This is the only task where a task-specific published figure replaces the flat token rate; the substitution is declared here and in column I.</t>
  </si>
  <si>
    <t xml:space="preserve">This task uses Epoch's separately published figure of approximately 40 Wh (144,000 J) for a roughly 100,000-token input, rather than the flat 2.10 J/token rate applied elsewhere in the model, because Epoch's own reporting credits prefill computation with higher GPU utilization than decode. A uniform per-token rate would give 222,602 J for the same task; the Epoch-specific figure is lower and is judged the more accurate of the two for an input of this length. This is the only task in the model where a task-specific published figure is substituted for the flat token rate used elsewhere; the substitution is noted here for transparency. Device-occupancy time is set so that power (1,050 W) multiplied by time equals 144,000 J.</t>
  </si>
  <si>
    <t xml:space="preserve">4. Solve one AIME competition problem</t>
  </si>
  <si>
    <t xml:space="preserve">log2(1,000 integer answers 000-999) = 9.966 bits</t>
  </si>
  <si>
    <t xml:space="preserve">AIME allows 3 hours for 15 problems = 720 s per problem. This is a RULE, not an estimate, which makes it the best-sourced brain timing in the workbook. Uses the full allowance, generous to the brain.</t>
  </si>
  <si>
    <t xml:space="preserve">1,050 W effective cluster power (1,500 W per H100, including server and datacenter overhead, at 70% utilization). Device occupancy is 1 H100-second per 500 tokens, or 0.002 s per token, equivalent to 2.10 J per token. Tokens: 79.5 prefill (problem statement) plus 10,000 reasoning tokens plus 5 answer tokens. This is the only task in the model where the brain achieves a lower J/bit than the LLM (by a factor of 1.19), and the only task where the model's internal deliberation is large enough to materially affect the comparison. Both sides pay for deliberation: the brain through twelve minutes at 24.67 W, the model through 10,000 tokens at 2.10 J each. The result is sensitive to the reasoning-token count: the crossover point is approximately 8,300 tokens, below which the LLM is more efficient and above which the brain is. At 5,000 tokens the LLM leads by 1.66x; at 20,000 tokens the brain leads by 2.4x. Published token counts for comparable problems straddle this crossover point. The defensible summary is not that either system wins outright, but that at reasoning-scale test-time compute the LLM's efficiency advantage over the brain narrows to within a factor of two.</t>
  </si>
  <si>
    <t xml:space="preserve">Tokens: 79.5 prefill (problem statement) plus 10,000 reasoning tokens plus 5 answer tokens. This is the only task in the model where the brain achieves a lower J/bit than the LLM (by a factor of 1.19), and the only task where the model's internal deliberation is large enough to materially affect the comparison. Both sides pay for deliberation: the brain through twelve minutes at 24.67 W, the model through 10,000 tokens at 2.10 J each. The result is sensitive to the reasoning-token count: the crossover point is approximately 8,300 tokens, below which the LLM is more efficient and above which the brain is. At 5,000 tokens the LLM leads by 1.66x; at 20,000 tokens the brain leads by 2.4x. Published token counts for comparable problems straddle this crossover point. The defensible summary is not that either system wins outright, but that at reasoning-scale test-time compute the LLM's efficiency advantage over the brain narrows to within a factor of two.</t>
  </si>
  <si>
    <t xml:space="preserve">EARLY-2020s LLM (GPT-3-class, 175B dense, 2020-2022). One A100 inference stack. The LLM cloud's own predecessor, so the chart carries a rate of change and not just a snapshot.</t>
  </si>
  <si>
    <t xml:space="preserve">GPU + server + facility</t>
  </si>
  <si>
    <t xml:space="preserve">Produce short reply ~110 words (matched to brain task 2)</t>
  </si>
  <si>
    <t xml:space="preserve">175e9 params x 2 FLOPs/param/token = 3.50e11 FLOPs per token. A100 at 312 TFLOPS FP16 dense x 30% MFU = 9.36e13 effective FLOPS, so 3.74e-3 s/token. 400 W (A100 SXM) x 1.5 for server and facility = 600 W. 600 x 3.7393e-3 = 2.2436 J/token. 278.25 tokens x 2.2436 = 624.3 J over 1.040 s device occupancy, at 600 W effective.</t>
  </si>
  <si>
    <t xml:space="preserve">This point is fully modeled: no vendor or operator has published GPT-3-era inference energy figures, so every input here is a defensible estimate rather than a direct measurement. The result is nonetheless notable, and should be stated carefully: approximately 2.24 J/token for this 2020-2022 estimate, against 2.10 J/token for the 2025 GPT-4o-class figure - essentially flat across five years, suggesting that model growth and mixture-of-experts sparsity roughly offset hardware improvement over this period. This should be reported as roughly flat, within the uncertainty of both figures, rather than as a precise six-percent change, since it compares one modeled estimate against one figure derived from a measurement. The 30% model FLOPS utilization assumed here is a conventional serving estimate; at 50% utilization this point falls to 1.35 J/token, at which point the five-year trend would represent a genuine efficiency improvement.</t>
  </si>
  <si>
    <t xml:space="preserve">Brown et al. 2020, 'Language Models are Few-Shot Learners', NeurIPS (GPT-3 175B architecture). Kaplan et al. 2020 (2 FLOPs per parameter per token). NVIDIA A100 datasheet (312 TFLOPS FP16 dense, 400 W SXM).</t>
  </si>
  <si>
    <t xml:space="preserve">MODELLED from published architecture and datasheet. NOT MEASURED.</t>
  </si>
  <si>
    <t xml:space="preserve">T3 reconstruction - no published inference energy exists</t>
  </si>
  <si>
    <t xml:space="preserve">Full facility wall plug (GPU x 1.5 for server and datacenter)</t>
  </si>
  <si>
    <t xml:space="preserve">ANTIKYTHERA MECHANISM (~100 BC). Bronze geared calculator, hand-cranked. The only KINETIC system on the chart and the oldest known analogue computer.</t>
  </si>
  <si>
    <t xml:space="preserve">Human muscle input at the crank</t>
  </si>
  <si>
    <t xml:space="preserve">One eclipse / calendar position dial readout</t>
  </si>
  <si>
    <t xml:space="preserve">~32,768 distinguishable dial states = 15 bits</t>
  </si>
  <si>
    <t xml:space="preserve">~1 W of sustained hand-cranking for ~10 s to advance the train to a target date = 10 J. 10 J / 15 bits = 0.667 J/bit.</t>
  </si>
  <si>
    <t xml:space="preserve">This is the least defensible point in the model. No direct measurement exists, and none realistically could: the 1 W figure represents the energy a human operator puts into the crank, not a cost incurred by the mechanism itself. A gear train at rest consumes nothing; the entire energy figure here is operator effort and friction. It is included because the kinetic hardware class would otherwise be unrepresented, and because the historical comparison is illustrative, not because the underlying number is well supported. The 15-bit count is the more solid half of this entry: the surviving dials resolve calendar position and eclipse timing to roughly one part in 32,000. The position of this point on the chart should be read as illustrative rather than precise.</t>
  </si>
  <si>
    <t xml:space="preserve">Freeth et al. 2006, Nature 444:587-591, DOI 10.1038/nature05357 (gearing and dial functions). Freeth et al. 2021, Scientific Reports 11:5821, DOI 10.1038/s41598-021-84310-w.</t>
  </si>
  <si>
    <t xml:space="preserve">The mechanism's function is well sourced; the energy figure is an estimate of human crank effort, not a measured computational cost.</t>
  </si>
  <si>
    <t xml:space="preserve">T4 guess - no measurement exists or can exist</t>
  </si>
  <si>
    <t xml:space="preserve">Operator muscle input (not a machine wall plug)</t>
  </si>
  <si>
    <t xml:space="preserve">Bit count reflects the OUTPUT WIDTH of a single deterministic operation, not uncertainty resolved by a decision. Unlike the biological and cognitive tasks (which select among genuinely uncertain alternatives), a fixed arithmetic or mechanical operation produces a determined result. This point is retained for hardware-class coverage; its position should be read as a per-operation efficiency figure rather than as decision-making efficiency. A hashing ASIC was excluded from this model for the stronger form of the same issue: it resolves no question and was removed rather than plotted at an output-width bit count.</t>
  </si>
  <si>
    <t xml:space="preserve">GOOGLE WILLOW (2024). 105-qubit superconducting quantum processor in a dilution refrigerator, running random circuit sampling.</t>
  </si>
  <si>
    <t xml:space="preserve">Cryogenic plant wall plug</t>
  </si>
  <si>
    <t xml:space="preserve">One 105-qubit RCS bitstring sample</t>
  </si>
  <si>
    <t xml:space="preserve">105-qubit bitstring = 105 bits</t>
  </si>
  <si>
    <t xml:space="preserve">Dilution refrigerator plant ~15 kW continuous, including compressors, pulse tubes and control electronics. One RCS sample cycle ~3 ms including reset and readout. 15,000 x 3e-3 = 45 J. 45 / 105 bits = 0.4286 J/bit.</t>
  </si>
  <si>
    <t xml:space="preserve">THE NATURE PAPER REPORTS NO ENERGY FIGURE. The 15 kW is reconstructed from typical dilution-refrigerator plant draw and is the dominant term by far: the qubits themselves dissipate microwatts. This is the same scoping trap as reversible superconducting logic (AQFP, not plotted) - the DEVICE is extraordinarily efficient and the SYSTEM is not, and only the system can be plotted on a wall-plug axis. Plant draw is roughly constant regardless of computation, so J/bit here is really a statement about throughput, not about physics. A 3x range on plant power or duty cycle is half a decade of freedom. Willow is preferred over Sycamore because Sycamore's classical-simulation advantage claim has eroded, while Willow's below-threshold error correction result has not.</t>
  </si>
  <si>
    <t xml:space="preserve">Google Quantum AI 2024, 'Quantum error correction below the surface code threshold', Nature 638:920-926, DOI 10.1038/s41586-024-08449-y (105 qubits, RCS). Cryogenic plant power: NOT PUBLISHED.</t>
  </si>
  <si>
    <t xml:space="preserve">The device specification is well sourced; the cryogenic plant power figure is an estimate based on typical dilution-refrigerator draw.</t>
  </si>
  <si>
    <t xml:space="preserve">T3 reconstruction - Nature paper gives no energy</t>
  </si>
  <si>
    <t xml:space="preserve">Full cryogenic plant wall plug</t>
  </si>
  <si>
    <t xml:space="preserve">RIBOSOME. One bacterial ribosome synthesising a protein, at inference. Four billion years of optimisation on a single task.</t>
  </si>
  <si>
    <t xml:space="preserve">ATP/GTP hydrolysis</t>
  </si>
  <si>
    <t xml:space="preserve">Synthesise one 300-residue protein</t>
  </si>
  <si>
    <t xml:space="preserve">300 residues x 4.19 bits (empirical amino-acid entropy) = 1,257 bits</t>
  </si>
  <si>
    <t xml:space="preserve">300 residues at ~18 ATP-equivalents each (tRNA charging, elongation GTP, proofreading, and amino-acid activation) x 8.3e-20 J per ATP-equivalent at physiological free energy = 4.48e-16 J. Elongation ~20 residues/s = 15 s. 4.48e-16 / 1,257 = 3.57e-19 J/bit, which is 124x the Landauer limit.</t>
  </si>
  <si>
    <t xml:space="preserve">The energy-accounting boundary is a declared modeling choice, and it moves this point by roughly 0.6 decades. Counting translation alone (2 ATP for tRNA charging plus 2 GTP for elongation, approximately 4-5 per residue) gives approximately 1.2e-16 J and a figure roughly 32 times the Landauer limit. The wider boundary used here additionally charges amino-acid biosynthesis, giving approximately 18 ATP-equivalents per residue and a figure roughly 120 times the Landauer limit; the widely cited '~120x above the floor' claim for the ribosome depends on this wider boundary. For internal consistency, whichever boundary is chosen here should also govern any other molecular system plotted, or the biological points cannot be meaningfully compared with one another. The elongation rate itself is well sourced. Separately, the bit count uses the empirical Shannon entropy of amino-acid usage (4.19 bits per residue) rather than the naive log2(20) = 4.32 bits, for the same reason that text is scored at 1.12 bits per character rather than at log2(26): the residues are not equiprobable, and leucine is roughly an order of magnitude more common than tryptophan. The choice raises the figure by 3%, from 120x the Landauer floor to 124x. Using log2(20) here would apply to the ribosome exactly the convention the model rejects for text.</t>
  </si>
  <si>
    <t xml:space="preserve">Elongation rate ~20 aa/s: Bremer &amp; Dennis, EcoSal Plus, DOI 10.1128/ecosal.5.2.3. ATP cost of peptide bond formation: standard biochemistry. Physiological ATP free energy ~50 kJ/mol. Amino-acid composition entropy ~4.19 bits/residue: computed from UniProt/SwissProt composition frequencies.</t>
  </si>
  <si>
    <t xml:space="preserve">The elongation rate is well sourced; the energy-accounting boundary is a declared modeling choice, not a measurement. The bit count uses empirical residue-frequency entropy, consistent with the text convention.</t>
  </si>
  <si>
    <t xml:space="preserve">T2 modelled - rate sourced, boundary declared</t>
  </si>
  <si>
    <t xml:space="preserve">Molecular free-energy consumption (no wall plug exists)</t>
  </si>
  <si>
    <t xml:space="preserve">INTEL LOIHI 2 (2021). Digital neuromorphic processor, event-driven spiking architecture with compute-in-memory neurocores.</t>
  </si>
  <si>
    <t xml:space="preserve">Chip power</t>
  </si>
  <si>
    <t xml:space="preserve">One synaptic operation</t>
  </si>
  <si>
    <t xml:space="preserve">1 bit (a spike arrives or does not)</t>
  </si>
  <si>
    <t xml:space="preserve">~15 pJ per synaptic operation at nominal operating conditions. Loihi timestep ~10 us. 1.5e-11 J device; x1.5 facility = 2.25e-11 J. 2.25e-11 / 1 bit = 2.25e-11 J/bit at the wall.</t>
  </si>
  <si>
    <t xml:space="preserve">Facility overhead (a 1.5x multiplier for server and datacenter power) is applied here for consistency with every other electronic point in the model. Separately, a sourcing caveat is worth stating plainly: the 15 pJ per synaptic operation figure is published for Loihi 1 (14 nm, 2018); Intel has not published a directly comparable per-operation figure for Loihi 2 (Intel 4, 2021), so the Loihi 1 value is retained rather than assuming an improvement. This is conservative toward Loihi 2, whose true figure is likely lower. An independent SNNTorch benchmark reports approximately 24 pJ per synaptic operation on Loihi hardware, placing the 15 pJ figure at the more optimistic end of a 15-24 pJ range.</t>
  </si>
  <si>
    <t xml:space="preserve">Davies et al. 2018, IEEE Micro 38(1):82-99, DOI 10.1109/MM.2018.112130359 (Loihi architecture). Basu et al. 2019, arXiv:1901.03690 (~15 pJ per synaptic operation at nominal conditions).</t>
  </si>
  <si>
    <t xml:space="preserve">Loihi 1 figure SOURCED and applied to Loihi 2 unchanged. Conservative.</t>
  </si>
  <si>
    <t xml:space="preserve">T2 sourced - Loihi 1 figure applied to Loihi 2</t>
  </si>
  <si>
    <t xml:space="preserve">Chip power x1.5 (added host+facility)</t>
  </si>
  <si>
    <t xml:space="preserve">IBM TRUENORTH (2014). Digital neuromorphic processor, 1 million neurons, 256 million synapses, fully event-driven.</t>
  </si>
  <si>
    <t xml:space="preserve">One synaptic event</t>
  </si>
  <si>
    <t xml:space="preserve">26 pJ per synaptic event. Chip runs a 1 ms biological timestep. 2.6e-11 J chip; x1.5 facility = 3.9e-11 J. 3.9e-11 / 1 bit = 3.9e-11 J/bit at the wall.</t>
  </si>
  <si>
    <t xml:space="preserve">Facility overhead (a 1.5x multiplier for server and datacenter power) is applied here for consistency with the rest of the model. This point corresponds to an entry that previously appeared as a generic, unattributed "Neuromorphic" dot in an earlier version of the underlying dataset; naming it TrueNorth and sourcing the figure directly (26 pJ per synaptic event) makes the value auditable rather than an unattributed placeholder, moving the point by roughly 0.08 decades. TrueNorth and Loihi 2 are both retained deliberately: they are seven years and two design philosophies apart (fixed-function versus programmable microcode), yet differ by only about 1.7x per bit, which is itself a notable finding about the pace of change in neuromorphic hardware efficiency.</t>
  </si>
  <si>
    <t xml:space="preserve">Merolla et al. 2014, Science 345(6197):668-673, DOI 10.1126/science.1254642 (26 pJ per synaptic event, 65 mW typical).</t>
  </si>
  <si>
    <t xml:space="preserve">SOURCED - Science paper, measured.</t>
  </si>
  <si>
    <t xml:space="preserve">T1 sourced</t>
  </si>
  <si>
    <t xml:space="preserve">LIGHTMATTER ENVISE (2021). Photonic accelerator performing matrix multiplication in the optical domain with electronic conversion at the boundary.</t>
  </si>
  <si>
    <t xml:space="preserve">Board power</t>
  </si>
  <si>
    <t xml:space="preserve">One 8-bit multiply-accumulate</t>
  </si>
  <si>
    <t xml:space="preserve">8-bit result = 8 bits</t>
  </si>
  <si>
    <t xml:space="preserve">~500 W board power at ~1e14 8-bit MACs/s = 5e-12 J per MAC over 1e-14 s. x1.5 facility = 7.5e-12 J. 7.5e-12 / 8 bits = 9.375e-13 J/bit.</t>
  </si>
  <si>
    <t xml:space="preserve">Facility overhead (a 1.5x multiplier for server and datacenter power) is applied here for consistency with the rest of the model. Separately, this figure corrects what appears to be an error of roughly nine orders of magnitude in an earlier version of the underlying dataset, which carried Lightmatter at 1e-4 J per 8-bit multiply-accumulate operation - a value that would place a photonic accelerator far less efficient than ENIAC per operation, and implausible on its face. The revised figure (5e-12 J per MAC) is derived from published board-power and throughput claims and remains a vendor-derived estimate rather than an independently measured figure. The underlying physical point is that the optical multiply itself is nearly free; nearly all the energy is consumed at the digital-to-analog and analog-to-digital conversion boundary, so photonics relocates the efficiency bottleneck rather than eliminating it.</t>
  </si>
  <si>
    <t xml:space="preserve">Lightmatter Envise product announcements and Hot Chips 2021 presentation. No peer-reviewed wall-plug measurement exists.</t>
  </si>
  <si>
    <t xml:space="preserve">VENDOR CLAIM, derived. Replaces an existing value that appears to be wrong by ~9 orders.</t>
  </si>
  <si>
    <t xml:space="preserve">T4 vendor claim - unaudited, and it corrects a suspected error</t>
  </si>
  <si>
    <t xml:space="preserve">Board power x1.5 (added host+facility)</t>
  </si>
  <si>
    <t xml:space="preserve">EXTROPIC TSU (2025). Thermodynamic sampling unit. Uses electron thermal fluctuation as the computational primitive rather than suppressing it.</t>
  </si>
  <si>
    <t xml:space="preserve">Chip power (simulated)</t>
  </si>
  <si>
    <t xml:space="preserve">One probabilistic sample from an energy-based model</t>
  </si>
  <si>
    <t xml:space="preserve">1 bit per pbit sampled</t>
  </si>
  <si>
    <t xml:space="preserve">Vendor simulation claims ~10,000x lower energy per sample than a GPU diffusion baseline. Against a GPU sample cost of ~1e-1 J, that implies ~1e-5 J per sample. 1e-5 J simulated; x1.5 facility = 1.5e-5 J. 1.5e-5 / 1 bit = 1.5e-5 J/bit at the wall.</t>
  </si>
  <si>
    <t xml:space="preserve">Facility overhead (a 1.5x multiplier for server and datacenter power) is applied here for consistency with the rest of the model. This is the least well-supported figure in the dataset and should be read with that in mind. The underlying ten-thousandfold claim originates from Extropic's own simulations of a production-scale device that had not shipped at the time the claim was made, not from measured silicon; the first proof-of-concept chip contained only a few dozen circuits, and the announced production part was not expected until 2026. Independent commentary suggests realistic gains in the range of 10-100x, with larger gains achievable only on small, favorably matched tasks.</t>
  </si>
  <si>
    <t xml:space="preserve">Extropic 2025 announcement and technical dossier (10,000x claim, simulated). Independent analysis suggesting 10-100x realistic. No measured per-sample energy has been published.</t>
  </si>
  <si>
    <t xml:space="preserve">VENDOR SIMULATION - not measured, not audited, not shipped at time of claim.</t>
  </si>
  <si>
    <t xml:space="preserve">T4 vendor claim - simulated, unaudited, two decades of uncertainty</t>
  </si>
  <si>
    <t xml:space="preserve">Chip power x1.5 (added host+facility, atop simulated figure)</t>
  </si>
  <si>
    <t xml:space="preserve">ESCHERICHIA COLI. One bacterium performing chemotaxis, at inference. The simplest complete sense-decide-act loop in biology.</t>
  </si>
  <si>
    <t xml:space="preserve">Whole-cell metabolic power</t>
  </si>
  <si>
    <t xml:space="preserve">One run/tumble commitment</t>
  </si>
  <si>
    <t xml:space="preserve">Run or tumble = 1 bit</t>
  </si>
  <si>
    <t xml:space="preserve">Whole-cell metabolic power ~1e-12 W. One chemotactic decision interval ~1 s. 1e-12 J / 1 bit = 1e-12 J/bit.</t>
  </si>
  <si>
    <t xml:space="preserve">This figure charges the entire organism's metabolism to a single decision, whole-cell rather than signaling-pathway alone, in the same way the brain figure charges the entire organism's support metabolism to a single task. The chemotaxis signaling network itself accounts for only a small fraction of this total, so the resulting figure is conservative under the declared basis. Unlike the brain calculation, no component-by-component breakdown is available here; this is a single sourced figure rather than a derived one. The 1-bit count is solid: the run-or-tumble decision is genuinely binary and constitutes the organism's entire behavioral repertoire for this task.</t>
  </si>
  <si>
    <t xml:space="preserve">Phillips, Kondev &amp; Theriot, Physical Biology of the Cell (whole-cell metabolic rate). Berg 2000, Physics Today 53(1):24 (run/tumble chemotaxis).</t>
  </si>
  <si>
    <t xml:space="preserve">SOURCED but with no internal breakdown available.</t>
  </si>
  <si>
    <t xml:space="preserve">T2 sourced - no component breakdown</t>
  </si>
  <si>
    <t xml:space="preserve">Whole-organism metabolic power</t>
  </si>
  <si>
    <t xml:space="preserve">BOTTLENOSE DOLPHIN. One dolphin performing an echolocation discrimination, at inference. Largest non-human brain on the chart.</t>
  </si>
  <si>
    <t xml:space="preserve">Whole-brain metabolic power</t>
  </si>
  <si>
    <t xml:space="preserve">One 2-alternative echolocation discrimination</t>
  </si>
  <si>
    <t xml:space="preserve">Target A or B = 1 bit</t>
  </si>
  <si>
    <t xml:space="preserve">Dolphin brain ~1.5-1.8 kg. Scaled metabolic power ~10.6 W. One 2AFC discrimination trial ~2 s. 21.2 J / 1 bit = 21.2 J/bit.</t>
  </si>
  <si>
    <t xml:space="preserve">This is a known and unresolved methodological conflict, carried forward here rather than concealed: estimating dolphin brain power from brain mass (1.5-1.8 kg at a mammalian per-gram rate) versus from neuron count (Herculano-Houzel's cetacean counts at a per-neuron constant) yields values differing by roughly sixfold, because cetacean brains have unusually low neuron density for their mass. Neither method is clearly preferable; the value used here sits toward the mass-based end of that range. A sixfold spread (0.78 decades) is the largest unresolved uncertainty among the biological points in this model. The 1-bit count itself is solid: a two-alternative forced choice is exactly one bit by construction.</t>
  </si>
  <si>
    <t xml:space="preserve">Herculano-Houzel et al. cetacean neuron counts. Au 1993, The Sonar of Dolphins (2AFC echolocation discrimination protocols and timings).</t>
  </si>
  <si>
    <t xml:space="preserve">CONFLICTED - two defensible methods disagree by 6x.</t>
  </si>
  <si>
    <t xml:space="preserve">T3 method conflict (6x)</t>
  </si>
  <si>
    <t xml:space="preserve">HONEYBEE. One forager selecting a remembered patch, at inference. Roughly one million neurons against the human brain's 86 billion.</t>
  </si>
  <si>
    <t xml:space="preserve">Select 1 of ~8 remembered forage patches</t>
  </si>
  <si>
    <t xml:space="preserve">log2(8 patches) = 3 bits</t>
  </si>
  <si>
    <t xml:space="preserve">Bee brain ~1 mg at insect neural metabolic rates = ~0.336 mW. Decision ~0.2 s. 6.72e-5 J / 3 bits = 2.24e-5 J/bit.</t>
  </si>
  <si>
    <t xml:space="preserve">RECONSTRUCTED, NOT MEASURED. Bee brain power is inferred from brain mass and insect neural metabolic rate, not measured directly, and the 8-patch repertoire is a modelling choice drawn from foraging studies rather than a fixed number. THE COMPARISON IT ENABLES IS WORTH THE UNCERTAINTY: the honeybee resolves a forage decision ~47,000x more cheaply per bit than the human brain's cheapest task in this model (reading the 80k-word book at 1.05 J/bit, input-bit basis). Both are learned-weight biological systems. Most of that gap is scale, not architecture, which is a useful corrective to the assumption that biology is uniformly efficient.</t>
  </si>
  <si>
    <t xml:space="preserve">Menzel 2012, Nature Reviews Neuroscience 13:758-768, DOI 10.1038/nrn3357 (honeybee memory and foraging repertoire). Brain mass and insect neural metabolic rates: standard entomology.</t>
  </si>
  <si>
    <t xml:space="preserve">RECONSTRUCTED from mass and metabolic rate. Repertoire size is a modelling choice.</t>
  </si>
  <si>
    <t xml:space="preserve">T3 reconstruction</t>
  </si>
  <si>
    <t xml:space="preserve">FROG (Rana). One frog executing a prey-detection strike, at inference. An ECTOTHERM, which is the entire reason it is on the chart.</t>
  </si>
  <si>
    <t xml:space="preserve">Detect prey and commit to a strike direction</t>
  </si>
  <si>
    <t xml:space="preserve">1 of ~8 angular sectors = 3 bits</t>
  </si>
  <si>
    <t xml:space="preserve">Frog brain ~100 mg. Ectothermic neural tissue at 20 C runs roughly an order of magnitude below mammalian per-gram rates, giving ~1 mW. Strike latency ~0.15 s. 1.5e-4 J / 3 bits = 5e-5 J/bit.</t>
  </si>
  <si>
    <t xml:space="preserve">ON THE CHART TO MAKE ONE ARGUMENT: THERMOREGULATION IS A COMPUTE COST. The frog runs the same class of neural hardware as the mammals here but at roughly a tenth the per-gram power, because it does not pay to hold its tissue at 37 C. It lands within 2.2x of the honeybee per bit despite a 100x larger brain. That isolates a variable no other point on the chart isolates, and it connects directly to the brain envelope's thermoregulation row. FULLY RECONSTRUCTED: frog brain mass, the ectotherm scaling factor, the strike latency and the 8-sector repertoire are all estimates. The ORDERING against endotherms is robust; the exact position is not. Lettvin's classic work established that the frog's retina, not its brain, does most of the prey detection, which if charged separately would move this point further down.</t>
  </si>
  <si>
    <t xml:space="preserve">Lettvin, Maturana, McCulloch &amp; Pitts 1959, Proc IRE 47(11):1940-1951, DOI 10.1109/JRPROC.1959.287207 ('What the Frog's Eye Tells the Frog's Brain'). Ectotherm metabolic scaling: standard comparative physiology.</t>
  </si>
  <si>
    <t xml:space="preserve">RECONSTRUCTED - every input is an estimate. Ordering robust, position is not.</t>
  </si>
  <si>
    <t xml:space="preserve">T4 reconstruction - all inputs estimated</t>
  </si>
  <si>
    <t xml:space="preserve">ENIAC (1946). First general-purpose electronic digital computer. ~18,000 vacuum tubes. The reference point for eight decades of improvement.</t>
  </si>
  <si>
    <t xml:space="preserve">Machine wall plug</t>
  </si>
  <si>
    <t xml:space="preserve">One 10-digit decimal addition</t>
  </si>
  <si>
    <t xml:space="preserve">log2(10^10) = 33.22 bits</t>
  </si>
  <si>
    <t xml:space="preserve">150 kW machine draw / 5,000 additions per second = 30 J per addition machine-only; x1.4 cooling = 42 J. 42 / 33.22 bits = 1.264 J/bit.</t>
  </si>
  <si>
    <t xml:space="preserve">Cooling overhead is included here for consistency with the LLM figures, which include datacenter cooling; the original figure covered the machine only (150 kW), excluding air conditioning, which was an asymmetry relative to the modern points. A 1.4x multiplier is applied (210 kW total), though no contemporary air-conditioning figure survives for ENIAC specifically, so this is an estimate derived from physical reasoning rather than a sourced historical value: a cooling plant must remove essentially all IT heat, and mid-century air conditioning operated at a coefficient of performance of roughly 2-3, implying a 40-50% addition on top of electrical load, consistent with the approximately 40% CRAC-system share commonly cited in modern datacenter energy literature. The plausible 1.3-1.5x range corresponds to only about 0.05 decades of uncertainty. Both the machine's power draw and the historical record are otherwise well documented, making ENIAC one of the better-sourced points in the model.</t>
  </si>
  <si>
    <t xml:space="preserve">Goldstine &amp; Goldstine 1946, 'The Electronic Numerical Integrator and Computer', Mathematical Tables and Other Aids to Computation 2(15):97-110. ENIAC operating specifications (150 kW, 5,000 additions/s).</t>
  </si>
  <si>
    <t xml:space="preserve">SOURCED - contemporary technical documentation.</t>
  </si>
  <si>
    <t xml:space="preserve">Machine wall plug + estimated cooling (150 kW x1.4) - now includes facility like the LLMs</t>
  </si>
  <si>
    <t xml:space="preserve">Bit count reflects the OUTPUT WIDTH of a single deterministic operation, not uncertainty resolved by a decision. A ten-digit decimal addition has one determined answer; 33.22 bits describes the width of the result field, not a selection among live alternatives, as in the biological and cognitive tasks. This point is retained as the 1946 historical anchor for general-purpose electronic computing; its position should be read as a per-operation efficiency figure rather than as decision-making efficiency. The same treatment is applied to the Antikythera dial readout and the Lightmatter multiply-accumulate. A hashing ASIC was excluded from this model for the stronger form of the same issue: it resolves no question and was removed rather than plotted at an output-width bit count.</t>
  </si>
  <si>
    <t xml:space="preserve">GOOGLE SEARCH (2009 disclosure). One web search query across Google's serving fleet, at inference. The LLM's actual predecessor and the comparison every commentator reaches for.</t>
  </si>
  <si>
    <t xml:space="preserve">Fleet-wide per-query energy</t>
  </si>
  <si>
    <t xml:space="preserve">Return one ranked result from the web index</t>
  </si>
  <si>
    <t xml:space="preserve">log2(1e11 indexed pages) = 36.5 bits</t>
  </si>
  <si>
    <t xml:space="preserve">0.3 Wh per query = 1,080 J, fanned across the serving fleet over ~0.2 s, i.e. ~5,400 W aggregate. 1,080 / 36.54 = 29.6 J/bit.</t>
  </si>
  <si>
    <t xml:space="preserve">Two weaknesses are worth noting, alongside one genuinely counterintuitive result. First, the 0.3 Wh figure is Google's own 2009 disclosure and has never been updated; the current figure could plausibly be lower, reflecting seventeen years of hardware improvement, or higher, given that AI-generated overviews now invoke a language model on many queries, making it the most dated input in this model. Second, the bit framing, selecting one of approximately 1e11 indexed pages, follows the declared rule but is itself a modeling choice, since a search returns a ranked list rather than a single page. The result is nonetheless notable: at 29.6 J/bit, search is less efficient per bit than an LLM's short-reply task (0.89 J/bit) and more efficient than an LLM choosing a chess move (929 J/bit). The popular claim that one language-model query costs the equivalent of ten web searches inverts once energy is divided by bits resolved rather than compared on a raw per-query basis.</t>
  </si>
  <si>
    <t xml:space="preserve">Google Official Blog 2009, 'Powering a Google search' (0.3 Wh per query). Index size ~1e11 pages: Google public statements.</t>
  </si>
  <si>
    <t xml:space="preserve">SOURCED but 17 YEARS STALE. Bit framing is a declared choice.</t>
  </si>
  <si>
    <t xml:space="preserve">T2 modelled - source stale, framing declared</t>
  </si>
  <si>
    <t xml:space="preserve">Fleet-wide wall plug (Google's own disclosure basis)</t>
  </si>
  <si>
    <t xml:space="preserve">Type of Compute</t>
  </si>
  <si>
    <t xml:space="preserve">Example</t>
  </si>
  <si>
    <t xml:space="preserve">Why it was excluded from the plot (or how it is represented)</t>
  </si>
  <si>
    <t xml:space="preserve">Molecular Biology (Organic, Fixed)</t>
  </si>
  <si>
    <t xml:space="preserve">Ribosome (~3.5B BC)</t>
  </si>
  <si>
    <t xml:space="preserve">ON PLOT. One bacterial ribosome synthesising a 300-residue protein, priced at ATP/GTP hydrolysis. It is the closest any real system on the chart comes to the Landauer floor, at roughly 124x above it, and is the single most-cited point in the model. Two declared modelling choices set its position: the energy-accounting boundary (18 ATP-equivalents per residue including amino-acid biosynthesis, rather than 4-5 for translation alone, a difference of ~0.6 decades) and the bit count (empirical residue-frequency entropy at 4.19 bits, not the naive log2(20) = 4.32, consistent with the 1.12-bits-per-character rule used for text). The elongation rate is well sourced.</t>
  </si>
  <si>
    <t xml:space="preserve">E. coli chemotaxis (~3B BC)</t>
  </si>
  <si>
    <t xml:space="preserve">ON PLOT. One bacterium committing to a run or a tumble: the simplest complete sense-decide-act loop in biology, and the only whole-organism point below the multicellular animals. Whole-cell metabolic power is charged to a single decision, mirroring the way the human brain carries its whole-organism support envelope, which makes the figure conservative under the declared basis. The 1-bit count is solid, since run-or-tumble is genuinely binary and is the organism's entire behavioural repertoire for the task. No component-by-component breakdown is available, unlike the brain.</t>
  </si>
  <si>
    <t xml:space="preserve">First RNA (~3.8B BC)</t>
  </si>
  <si>
    <t xml:space="preserve">REMOVED. Plotted in an earlier draft, then cut. A prebiotic self-copying RNA was plotted as a reference point but landed ~35x above the Landauer floor, beating the ribosome's ~124x. A prebiotic replicator out-performing four billion years of optimisation is implausible, and no measurement of it exists or can exist, so the point rested entirely on a guess. Removed rather than defended.</t>
  </si>
  <si>
    <t xml:space="preserve">Adleman DNA (1994)</t>
  </si>
  <si>
    <t xml:space="preserve">EXCLUDED. Adleman's DNA solution to a Hamiltonian-path problem is a landmark, but its energy and time per bit resolved were never measured in a way comparable to the plotted systems: the computation is massively parallel across ~10^14 molecules over days, and assigning a per-bit cost requires arbitrary choices about how to count the molecular ensemble. It would sit on the chart only as a guess dressed as data.</t>
  </si>
  <si>
    <t xml:space="preserve">Genetic circuits (2000)</t>
  </si>
  <si>
    <t xml:space="preserve">EXCLUDED. The Elowitz-Leibler repressilator and similar engineered gene circuits compute by protein expression dynamics. There is no clean 'task', 'bit', or wall-plug energy for a synthetic oscillator; the relevant cost is metabolic and shared with the whole cell, and the output is a continuous concentration, not a resolved discrete outcome. It does not fit the bits-resolved basis.</t>
  </si>
  <si>
    <t xml:space="preserve">Engineered cells (2010)</t>
  </si>
  <si>
    <t xml:space="preserve">EXCLUDED. Synthetic-biology engineered cells (e.g. Gibson-era minimal genomes) compute in the same whole-cell metabolic regime as E. coli, which IS on the plot as the representative organic point. A second engineered-cell dot would duplicate E. coli's basis without adding a distinct, well-sourced efficiency figure.</t>
  </si>
  <si>
    <t xml:space="preserve">Brain Organoids (Organic, Universal)</t>
  </si>
  <si>
    <t xml:space="preserve">Cortical Labs (2022)</t>
  </si>
  <si>
    <t xml:space="preserve">EXCLUDED. Cortical-Labs DishBrain neurons learning Pong is a genuine living-substrate computer, but no per-task energy or bit figure has been published. The device is a research prototype; its metabolic cost, the information content of its 'decision', and its throughput are all unmeasured, so any point would be fabricated.</t>
  </si>
  <si>
    <t xml:space="preserve">FinalSpark (2024)</t>
  </si>
  <si>
    <t xml:space="preserve">EXCLUDED. Same reason as Cortical Labs: an organoid-based 'bioprocessor' with no published energy-per-bit or task-resolution figure. Interesting as a category, unplottable as a data point without a measurement.</t>
  </si>
  <si>
    <t xml:space="preserve">Brains, Neurons (Organic, Learned)</t>
  </si>
  <si>
    <t xml:space="preserve">Animal nervous systems (~600M BC)</t>
  </si>
  <si>
    <t xml:space="preserve">ON PLOT, extensively. This cell is the biological core of the chart: the Human Brain cloud (four tasks), plus Dolphin, Honeybee, and Frog as individual animal nervous systems. E. coli sits just outside it as the simplest sense-decide-act loop. This is the best-represented cell in the whole matrix.</t>
  </si>
  <si>
    <t xml:space="preserve">Fixed-Function Silicon (Charge, Fixed)</t>
  </si>
  <si>
    <t xml:space="preserve">Hand Calculator (1964)</t>
  </si>
  <si>
    <t xml:space="preserve">EXCLUDED as redundant. A four-function calculator performs the same class of task as ENIAC (a fixed decimal arithmetic operation), and ENIAC is already plotted as the historical anchor with far better-documented power figures. The calculator adds no new efficiency regime.</t>
  </si>
  <si>
    <t xml:space="preserve">Bitcoin ASIC (2013)</t>
  </si>
  <si>
    <t xml:space="preserve">DELIBERATELY REMOVED. A SHA-256 hasher was plotted, then cut: a hash resolves no uncertainty. Its 256-bit output is the width of a discarded lottery ticket, not a decision among live alternatives, so dividing its energy by 256 flattered it with bits it never resolved. It answers no question anyone asked, so it was removed rather than plotted at an output-width bit count.</t>
  </si>
  <si>
    <t xml:space="preserve">TPU (2016)</t>
  </si>
  <si>
    <t xml:space="preserve">EXCLUDED as superseded, then that replacement was also removed. An early draft plotted a TPU image-inference point; it was replaced by an NVIDIA B200 point, which was in turn removed because a single low-precision FP4 tensor operation resolves no uncertainty - its 4-bit output width is not a decision among live alternatives. Like the Bitcoin hash, it was cut rather than plotted at an output-width bit count. The silicon-inference regime remains represented by the Frontier LLM cloud and the Early-2020s LLM point.</t>
  </si>
  <si>
    <t xml:space="preserve">General-Purpose Silicon (Charge, Universal)</t>
  </si>
  <si>
    <t xml:space="preserve">ENIAC (1946)</t>
  </si>
  <si>
    <t xml:space="preserve">ON PLOT. Plotted as the 1946 historical anchor for general-purpose electronic computing, at one 10-digit decimal addition, with an added 1.4x cooling estimate for facility parity. Its bits are output width, not uncertainty resolved: a ten-digit decimal addition has one determined answer, and 33.22 bits describes the width of the result field. The same caveat applies to the Antikythera dial readout and the Lightmatter multiply-accumulate.</t>
  </si>
  <si>
    <t xml:space="preserve">GPU (1999)</t>
  </si>
  <si>
    <t xml:space="preserve">PARTIALLY ON PLOT. Modern GPU inference is represented by the Frontier LLM cloud and the Early-2020s LLM predecessor point. A standalone GPU operation is not plotted: a single deterministic tensor operation resolves no uncertainty (the same reason the NVIDIA B200 and Bitcoin points were removed), and a 1999-era GPU has no measured per-task efficiency figure.</t>
  </si>
  <si>
    <t xml:space="preserve">GPT-4 (2023)</t>
  </si>
  <si>
    <t xml:space="preserve">ON PLOT. This is the Frontier LLM cloud (GPT-4o-class, 2025): four tasks (short reply, chess, book, AIME), plus the Early-2020s LLM point as its GPT-3-class predecessor. The most fully developed system on the chart after the brain.</t>
  </si>
  <si>
    <t xml:space="preserve">Google Search (2009)</t>
  </si>
  <si>
    <t xml:space="preserve">ON PLOT. One web search query across Google's serving fleet: the LLM's actual predecessor and the comparison every commentator reaches for. It carries the model's most rhetorically useful result: at 29.6 J/bit, search is less efficient per bit than an LLM's short reply (0.89 J/bit), so the popular claim that one language-model query costs ten web searches inverts once energy is divided by bits resolved rather than compared per query. Two weaknesses are declared: the 0.3 Wh figure is Google's own 2009 disclosure and has never been updated, making it the most dated input in the model, and framing the task as selecting one of ~1e11 indexed pages is a modelling choice, since search returns a ranked list.</t>
  </si>
  <si>
    <t xml:space="preserve">Memristive / Neuromorphic (Charge, Learned)</t>
  </si>
  <si>
    <t xml:space="preserve">TrueNorth (2014)</t>
  </si>
  <si>
    <t xml:space="preserve">ON PLOT, at one synaptic event (with 1.5x facility). It is the sourced, named replacement for what was once a generic unlabelled 'Neuromorphic' dot.</t>
  </si>
  <si>
    <t xml:space="preserve">Loihi 2 (2021)</t>
  </si>
  <si>
    <t xml:space="preserve">ON PLOT, at one synaptic operation (with 1.5x facility). Kept alongside TrueNorth deliberately: the two are seven years and two design philosophies apart yet differ by only ~1.7x per bit, which is itself a finding.</t>
  </si>
  <si>
    <t xml:space="preserve">Mythic Analog (2022)</t>
  </si>
  <si>
    <t xml:space="preserve">EXCLUDED as redundant. Mythic's analog compute-in-memory occupies the same neuromorphic efficiency band already represented by TrueNorth and Loihi 2. A third dot in the same regime would crowd the chart without adding a distinct data point, and Mythic has no comparably sourced per-operation energy figure.</t>
  </si>
  <si>
    <t xml:space="preserve">Thermodynamic (Charge, Probabilistic)</t>
  </si>
  <si>
    <t xml:space="preserve">Normal Computing (2023)</t>
  </si>
  <si>
    <t xml:space="preserve">EXCLUDED. Normal Computing's thermodynamic hardware is at a similar readiness to Extropic (which IS plotted, as the single probabilistic-sampling representative). Plotting both would double a category that currently rests on one vendor-simulated figure; Extropic was chosen as the placeholder and flagged as the least-supported point on the chart.</t>
  </si>
  <si>
    <t xml:space="preserve">Extropic X0 (2024)</t>
  </si>
  <si>
    <t xml:space="preserve">ON PLOT, as 'Extropic TSU'. Included to populate the probabilistic-compute class, but flagged as the least defensible point: its efficiency claim comes from vendor simulation of an unshipped device, not measured silicon. Carried at the lowest confidence tier (T4 vendor claim: simulated, unaudited, roughly two decades of uncertainty).</t>
  </si>
  <si>
    <t xml:space="preserve">Mechanical Calculator (Kinetic, Fixed)</t>
  </si>
  <si>
    <t xml:space="preserve">Antikythera (~100 BC)</t>
  </si>
  <si>
    <t xml:space="preserve">ON PLOT. Kept as the sole Kinetic point despite being the weakest on the chart: no measurement exists, and its energy is human crank effort rather than a machine cost. Retained for hardware-class coverage and historical value; its position is explicitly illustrative, and its bits are output width (dial states), not uncertainty resolved.</t>
  </si>
  <si>
    <t xml:space="preserve">Babbage Diff. Engine (1822)</t>
  </si>
  <si>
    <t xml:space="preserve">EXCLUDED as redundant. The Difference Engine occupies the same kinetic, hand-cranked, fixed-function regime as the Antikythera, which already represents the class. Its per-bit energy is equally unmeasurable (human muscle input), so a second point would add the same guess twice.</t>
  </si>
  <si>
    <t xml:space="preserve">Mechanical Universal (Kinetic, Universal)</t>
  </si>
  <si>
    <t xml:space="preserve">Analytical Engine (1837)</t>
  </si>
  <si>
    <t xml:space="preserve">EXCLUDED. Babbage's Analytical Engine was never built, so it is Theoretical in the taxonomy. There is no physical machine to measure energy or time for; it cannot be plotted as a real system, only discussed.</t>
  </si>
  <si>
    <t xml:space="preserve">Photonic / Acoustic (Wave, Fixed)</t>
  </si>
  <si>
    <t xml:space="preserve">SAW Filters (1965)</t>
  </si>
  <si>
    <t xml:space="preserve">EXCLUDED. Surface-acoustic-wave filters are signal-processing devices, not systems that resolve a discrete computational outcome. There is no 'bit resolved' in a continuous analog filtering operation, so it has no place on a bits-resolved axis.</t>
  </si>
  <si>
    <t xml:space="preserve">Lightmatter Envise (2021)</t>
  </si>
  <si>
    <t xml:space="preserve">ON PLOT, at one 8-bit multiply-accumulate (with 1.5x facility). Sole Wave point. Retained but flagged: its bits are output width of a deterministic MAC, not a decision, and its energy figure is vendor-derived (it replaced a prior value that appeared wrong by ~9 orders of magnitude).</t>
  </si>
  <si>
    <t xml:space="preserve">Optical CPU (Wave, Universal)</t>
  </si>
  <si>
    <t xml:space="preserve">Caulfield Proposal (1989)</t>
  </si>
  <si>
    <t xml:space="preserve">EXCLUDED. A theoretical proposal for a general-purpose optical processor. No device was built, so there is nothing to measure; Theoretical in the taxonomy.</t>
  </si>
  <si>
    <t xml:space="preserve">Magnonic Networks (Wave, Learned)</t>
  </si>
  <si>
    <t xml:space="preserve">Imec / Mainz (2014)</t>
  </si>
  <si>
    <t xml:space="preserve">EXCLUDED. Magnonic (spin-wave) neural-network research is an early-stage prototype with no published energy-per-bit-resolved figure for a defined task. Unplottable without fabricated numbers.</t>
  </si>
  <si>
    <t xml:space="preserve">Photonic Qubits (Wave, Superposition)</t>
  </si>
  <si>
    <t xml:space="preserve">Xanadu Borealis (2022)</t>
  </si>
  <si>
    <t xml:space="preserve">EXCLUDED. Photonic quantum sampling (Gaussian boson sampling) resolves a genuinely quantum outcome, but no wall-plug energy per resolved bit has been published for Borealis in a form comparable to the plotted systems, and its 'task' (boson sampling) has an ill-defined useful-bit count. Willow was chosen as the single superconducting-qubit representative instead.</t>
  </si>
  <si>
    <t xml:space="preserve">PsiQuantum Omega (2024)</t>
  </si>
  <si>
    <t xml:space="preserve">EXCLUDED. A fabrication-stage photonic quantum platform with no published per-task energy or bit-resolution figures. Nothing measurable to plot yet.</t>
  </si>
  <si>
    <t xml:space="preserve">Reversible Superconducting (Superconductor, Universal)</t>
  </si>
  <si>
    <t xml:space="preserve">RSFQ (1985)</t>
  </si>
  <si>
    <t xml:space="preserve">REMOVED. Previously plotted at one gate switch (logic plus cryoplant); cut with AQFP and the Quantum Gate point when the roster was tightened. Its cryocooler overhead was a guessed factor spanning a full decade, and its bits were the output width of a deterministic switch, not uncertainty resolved.</t>
  </si>
  <si>
    <t xml:space="preserve">AQFP (2014)</t>
  </si>
  <si>
    <t xml:space="preserve">REMOVED. Previously plotted at one reversible gate switch. Near the Landauer floor device-intrinsically but ~350x above it at the wall plug once cryogenic overhead is counted; the prose scopes this distinction. Cut with RSFQ; the same guessed cooling factor applied, and the bits were output width, not a decision.</t>
  </si>
  <si>
    <t xml:space="preserve">Superconducting Qubits (Superconductor, Superposition)</t>
  </si>
  <si>
    <t xml:space="preserve">D-Wave One (2011)</t>
  </si>
  <si>
    <t xml:space="preserve">EXCLUDED. D-Wave is a quantum ANNEALER, not a gate-model sampler; its 'bits resolved' per problem is ill-defined and contested, and its energy is dominated by the same cryoplant as Willow, which already represents the superconducting-qubit class on the plot.</t>
  </si>
  <si>
    <t xml:space="preserve">Google Willow (2024)</t>
  </si>
  <si>
    <t xml:space="preserve">ON PLOT (as 'Willow'), at one 105-qubit random-circuit-sampling sample with the full cryoplant. Chosen over Sycamore (whose classical-simulation advantage claim has eroded) and over D-Wave/IBM. The Nature paper reports no energy, so the cryoplant draw is reconstructed.</t>
  </si>
  <si>
    <t xml:space="preserve">IBM Nighthawk (2025)</t>
  </si>
  <si>
    <t xml:space="preserve">EXCLUDED as redundant. IBM's latest superconducting-qubit processor sits in the same cryoplant-dominated regime as Willow, which already represents the class. No separately published energy-per-sample figure that would distinguish it on the chart.</t>
  </si>
  <si>
    <t xml:space="preserve">Trapped Ion / Neutral Atom (Atomic, Superposition)</t>
  </si>
  <si>
    <t xml:space="preserve">Wineland (1995)</t>
  </si>
  <si>
    <t xml:space="preserve">EXCLUDED, and the cell is now empty on the chart. An earlier draft plotted a 'Trapped Ion' two-qubit-gate point; it was dropped when the roster was tightened, and the Quantum Gate theoretical-floor point that briefly stood in for the atomic-superposition class was removed in turn, since a theoretical construct is not a system. The Atomic hardware class is therefore unrepresented on the plot, deliberately: no trapped-ion or neutral-atom publication gives a wall-plug energy per resolved bit, so any point would be a reconstruction. The Landauer floor now appears as a reference line rather than as a dot.</t>
  </si>
  <si>
    <t xml:space="preserve">IonQ (2018)</t>
  </si>
  <si>
    <t xml:space="preserve">EXCLUDED. Commercial trapped-ion hardware with no published wall-plug energy per resolved bit; the laser, vacuum, and control-electronics overhead dominate and are unreported. Unplottable without invention.</t>
  </si>
  <si>
    <t xml:space="preserve">QuEra Aquila (2022)</t>
  </si>
  <si>
    <t xml:space="preserve">EXCLUDED. Neutral-atom array with no published per-task energy-per-bit figure. Same problem as IonQ: the interesting physics is real, the measured efficiency is absent.</t>
  </si>
  <si>
    <t xml:space="preserve">Not Computation (cellar)</t>
  </si>
  <si>
    <t xml:space="preserve">Viruses, USB sticks</t>
  </si>
  <si>
    <t xml:space="preserve">EXCLUDED BY DEFINITION. These are information CARRIERS, not computers: they store or transmit bits but resolve none. They fall in the taxonomy's 'Not Computation' cellar and are outside the scope of a compute-efficiency chart.</t>
  </si>
  <si>
    <t xml:space="preserve">Chemical / Reservoir / Slime mold / Plasma</t>
  </si>
  <si>
    <t xml:space="preserve">EXCLUDED BY DEFINITION. Reservoir-style physical substrates are made to compute only by an external observer imposing an abstraction on their dynamics; they resolve no bit on their own terms. Placed in the 'Not Computation' cellar.</t>
  </si>
  <si>
    <t xml:space="preserve">Pre-biotic / Cosmic computation</t>
  </si>
  <si>
    <t xml:space="preserve">EXCLUDED BY DEFINITION. 'Physics as computation' at pre-biotic or cosmological scale is an observer-imposed abstraction, not a system resolving a task. Outside the plot's scope; cellar only.</t>
  </si>
</sst>
</file>

<file path=xl/styles.xml><?xml version="1.0" encoding="utf-8"?>
<styleSheet xmlns="http://schemas.openxmlformats.org/spreadsheetml/2006/main">
  <numFmts count="2">
    <numFmt numFmtId="164" formatCode="General"/>
    <numFmt numFmtId="165" formatCode="0.00E+00"/>
  </numFmts>
  <fonts count="8">
    <font>
      <sz val="11"/>
      <color theme="1"/>
      <name val="Calibri"/>
      <family val="2"/>
      <charset val="1"/>
    </font>
    <font>
      <sz val="10"/>
      <name val="Arial"/>
      <family val="0"/>
    </font>
    <font>
      <sz val="10"/>
      <name val="Arial"/>
      <family val="0"/>
    </font>
    <font>
      <sz val="10"/>
      <name val="Arial"/>
      <family val="0"/>
    </font>
    <font>
      <b val="true"/>
      <sz val="9"/>
      <color rgb="FFFFFFFF"/>
      <name val="Arial"/>
      <family val="2"/>
      <charset val="1"/>
    </font>
    <font>
      <sz val="8"/>
      <name val="Arial"/>
      <family val="2"/>
      <charset val="1"/>
    </font>
    <font>
      <b val="true"/>
      <sz val="8"/>
      <name val="Arial"/>
      <family val="2"/>
      <charset val="1"/>
    </font>
    <font>
      <sz val="9"/>
      <name val="Arial"/>
      <family val="2"/>
      <charset val="1"/>
    </font>
  </fonts>
  <fills count="6">
    <fill>
      <patternFill patternType="none"/>
    </fill>
    <fill>
      <patternFill patternType="gray125"/>
    </fill>
    <fill>
      <patternFill patternType="solid">
        <fgColor rgb="FF043463"/>
        <bgColor rgb="FF333333"/>
      </patternFill>
    </fill>
    <fill>
      <patternFill patternType="solid">
        <fgColor rgb="FFFFF3E0"/>
        <bgColor rgb="FFFBEEEE"/>
      </patternFill>
    </fill>
    <fill>
      <patternFill patternType="solid">
        <fgColor rgb="FFE8F0E8"/>
        <bgColor rgb="FFFBEEEE"/>
      </patternFill>
    </fill>
    <fill>
      <patternFill patternType="solid">
        <fgColor rgb="FFFBEEEE"/>
        <bgColor rgb="FFFFF3E0"/>
      </patternFill>
    </fill>
  </fills>
  <borders count="6">
    <border diagonalUp="false" diagonalDown="false">
      <left/>
      <right/>
      <top/>
      <bottom/>
      <diagonal/>
    </border>
    <border diagonalUp="false" diagonalDown="false">
      <left style="thin">
        <color rgb="FFFE0100"/>
      </left>
      <right style="thin">
        <color rgb="FFFE0100"/>
      </right>
      <top style="thin">
        <color rgb="FFFE0100"/>
      </top>
      <bottom style="thin">
        <color rgb="FFFE0100"/>
      </bottom>
      <diagonal/>
    </border>
    <border diagonalUp="false" diagonalDown="false">
      <left style="thin">
        <color rgb="FFFE0100"/>
      </left>
      <right style="thin"/>
      <top style="thin">
        <color rgb="FFFE0100"/>
      </top>
      <bottom style="thin">
        <color rgb="FFFE0100"/>
      </bottom>
      <diagonal/>
    </border>
    <border diagonalUp="false" diagonalDown="false">
      <left style="thin">
        <color rgb="FFFE0100"/>
      </left>
      <right style="thin">
        <color rgb="FFFE0100"/>
      </right>
      <top style="thin">
        <color rgb="FFFE0100"/>
      </top>
      <bottom style="thin"/>
      <diagonal/>
    </border>
    <border diagonalUp="false" diagonalDown="false">
      <left style="thin">
        <color rgb="FFFE0100"/>
      </left>
      <right style="thin"/>
      <top style="thin">
        <color rgb="FFFE0100"/>
      </top>
      <bottom style="thin"/>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4" fillId="2" borderId="2"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center" textRotation="0" wrapText="true" indent="0" shrinkToFit="false"/>
      <protection locked="true" hidden="false"/>
    </xf>
    <xf numFmtId="165" fontId="5" fillId="0" borderId="1" xfId="0" applyFont="true" applyBorder="true" applyAlignment="true" applyProtection="false">
      <alignment horizontal="general" vertical="center" textRotation="0" wrapText="false" indent="0" shrinkToFit="false"/>
      <protection locked="true" hidden="false"/>
    </xf>
    <xf numFmtId="165" fontId="6" fillId="3" borderId="1" xfId="0" applyFont="true" applyBorder="true" applyAlignment="true" applyProtection="false">
      <alignment horizontal="general"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5" fontId="6" fillId="3" borderId="1" xfId="0" applyFont="true" applyBorder="true" applyAlignment="true" applyProtection="false">
      <alignment horizontal="general" vertical="top" textRotation="0" wrapText="fals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5" fillId="0" borderId="3" xfId="0" applyFont="true" applyBorder="true" applyAlignment="true" applyProtection="false">
      <alignment horizontal="general" vertical="top" textRotation="0" wrapText="true" indent="0" shrinkToFit="false"/>
      <protection locked="true" hidden="false"/>
    </xf>
    <xf numFmtId="165" fontId="5" fillId="0" borderId="3" xfId="0" applyFont="true" applyBorder="true" applyAlignment="true" applyProtection="false">
      <alignment horizontal="general" vertical="top" textRotation="0" wrapText="false" indent="0" shrinkToFit="false"/>
      <protection locked="true" hidden="false"/>
    </xf>
    <xf numFmtId="165" fontId="6" fillId="3" borderId="3" xfId="0" applyFont="true" applyBorder="true" applyAlignment="true" applyProtection="false">
      <alignment horizontal="general" vertical="top" textRotation="0" wrapText="false" indent="0" shrinkToFit="false"/>
      <protection locked="true" hidden="false"/>
    </xf>
    <xf numFmtId="164" fontId="5" fillId="0" borderId="4"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7" fillId="0" borderId="5" xfId="0" applyFont="true" applyBorder="true" applyAlignment="true" applyProtection="false">
      <alignment horizontal="general" vertical="top" textRotation="0" wrapText="true" indent="0" shrinkToFit="false"/>
      <protection locked="true" hidden="false"/>
    </xf>
    <xf numFmtId="164" fontId="7" fillId="4" borderId="5" xfId="0" applyFont="true" applyBorder="true" applyAlignment="true" applyProtection="false">
      <alignment horizontal="general" vertical="top" textRotation="0" wrapText="true" indent="0" shrinkToFit="false"/>
      <protection locked="true" hidden="false"/>
    </xf>
    <xf numFmtId="164" fontId="7" fillId="5" borderId="5"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E01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E0"/>
      <rgbColor rgb="FFE8F0E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BEEEE"/>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43463"/>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4"/>
  <sheetViews>
    <sheetView showFormulas="false" showGridLines="true" showRowColHeaders="true" showZeros="true" rightToLeft="false" tabSelected="true" showOutlineSymbols="true" defaultGridColor="true" view="normal" topLeftCell="A37" colorId="64" zoomScale="52" zoomScaleNormal="52" zoomScalePageLayoutView="100" workbookViewId="0">
      <selection pane="topLeft" activeCell="E9" activeCellId="0" sqref="E9"/>
    </sheetView>
  </sheetViews>
  <sheetFormatPr defaultColWidth="8.6328125" defaultRowHeight="14.25" zeroHeight="false" outlineLevelRow="0" outlineLevelCol="0"/>
  <cols>
    <col collapsed="false" customWidth="true" hidden="false" outlineLevel="0" max="1" min="1" style="1" width="81.18"/>
    <col collapsed="false" customWidth="true" hidden="false" outlineLevel="0" max="2" min="2" style="1" width="26"/>
    <col collapsed="false" customWidth="true" hidden="false" outlineLevel="0" max="3" min="3" style="1" width="33.09"/>
    <col collapsed="false" customWidth="true" hidden="false" outlineLevel="0" max="4" min="4" style="1" width="143.36"/>
    <col collapsed="false" customWidth="true" hidden="false" outlineLevel="0" max="5" min="5" style="1" width="26"/>
    <col collapsed="false" customWidth="true" hidden="false" outlineLevel="0" max="6" min="6" style="1" width="15.36"/>
    <col collapsed="false" customWidth="true" hidden="false" outlineLevel="0" max="7" min="7" style="1" width="4.09"/>
    <col collapsed="false" customWidth="true" hidden="false" outlineLevel="0" max="8" min="8" style="1" width="92.54"/>
    <col collapsed="false" customWidth="true" hidden="false" outlineLevel="0" max="9" min="9" style="1" width="117.54"/>
    <col collapsed="false" customWidth="true" hidden="false" outlineLevel="0" max="10" min="10" style="1" width="49.54"/>
    <col collapsed="false" customWidth="true" hidden="false" outlineLevel="0" max="11" min="11" style="1" width="24.82"/>
    <col collapsed="false" customWidth="true" hidden="false" outlineLevel="0" max="12" min="12" style="1" width="15.73"/>
    <col collapsed="false" customWidth="true" hidden="false" outlineLevel="0" max="13" min="13" style="1" width="16.09"/>
    <col collapsed="false" customWidth="true" hidden="false" outlineLevel="0" max="14" min="14" style="1" width="11.09"/>
    <col collapsed="false" customWidth="true" hidden="false" outlineLevel="0" max="15" min="15" style="1" width="16.27"/>
    <col collapsed="false" customWidth="true" hidden="false" outlineLevel="0" max="16" min="16" style="1" width="11.73"/>
    <col collapsed="false" customWidth="true" hidden="false" outlineLevel="0" max="19" min="19" style="1" width="29.73"/>
    <col collapsed="false" customWidth="true" hidden="false" outlineLevel="0" max="20" min="20" style="1" width="39.36"/>
    <col collapsed="false" customWidth="true" hidden="false" outlineLevel="0" max="21" min="21" style="1" width="133.82"/>
  </cols>
  <sheetData>
    <row r="1" customFormat="false" ht="22.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row>
    <row r="2" customFormat="false" ht="39.75" hidden="false" customHeight="true" outlineLevel="0" collapsed="false">
      <c r="A2" s="4" t="s">
        <v>21</v>
      </c>
      <c r="B2" s="5" t="s">
        <v>22</v>
      </c>
      <c r="C2" s="4" t="s">
        <v>23</v>
      </c>
      <c r="D2" s="4" t="s">
        <v>24</v>
      </c>
      <c r="E2" s="4" t="s">
        <v>25</v>
      </c>
      <c r="F2" s="6" t="n">
        <f aca="false">20</f>
        <v>20</v>
      </c>
      <c r="G2" s="5" t="s">
        <v>26</v>
      </c>
      <c r="H2" s="5" t="s">
        <v>27</v>
      </c>
      <c r="I2" s="5" t="s">
        <v>28</v>
      </c>
      <c r="J2" s="5" t="s">
        <v>29</v>
      </c>
      <c r="K2" s="5" t="s">
        <v>30</v>
      </c>
      <c r="L2" s="5" t="s">
        <v>31</v>
      </c>
      <c r="M2" s="7" t="n">
        <f aca="false">SUM($F$2:$F$8)</f>
        <v>24.6671777777778</v>
      </c>
      <c r="N2" s="7" t="n">
        <v>69.2101</v>
      </c>
      <c r="O2" s="8" t="n">
        <f aca="false">M2*N2</f>
        <v>1707.21784071778</v>
      </c>
      <c r="P2" s="7" t="n">
        <f aca="false">110*5.3*1.12</f>
        <v>652.96</v>
      </c>
      <c r="Q2" s="9" t="n">
        <f aca="false">O2/P2</f>
        <v>2.61458257889883</v>
      </c>
      <c r="R2" s="8" t="n">
        <f aca="false">N2/P2</f>
        <v>0.105994394756187</v>
      </c>
      <c r="S2" s="4" t="s">
        <v>32</v>
      </c>
      <c r="T2" s="4" t="s">
        <v>33</v>
      </c>
      <c r="U2" s="10" t="s">
        <v>34</v>
      </c>
    </row>
    <row r="3" customFormat="false" ht="30" hidden="false" customHeight="true" outlineLevel="0" collapsed="false">
      <c r="A3" s="4"/>
      <c r="B3" s="5" t="s">
        <v>35</v>
      </c>
      <c r="C3" s="4"/>
      <c r="D3" s="4"/>
      <c r="E3" s="4"/>
      <c r="F3" s="6" t="n">
        <f aca="false">0.33*440*4184/86400*0.15</f>
        <v>1.05471666666667</v>
      </c>
      <c r="G3" s="5" t="s">
        <v>26</v>
      </c>
      <c r="H3" s="5" t="s">
        <v>36</v>
      </c>
      <c r="I3" s="5" t="s">
        <v>37</v>
      </c>
      <c r="J3" s="5" t="s">
        <v>38</v>
      </c>
      <c r="K3" s="5" t="s">
        <v>39</v>
      </c>
      <c r="L3" s="5" t="s">
        <v>40</v>
      </c>
      <c r="M3" s="7"/>
      <c r="N3" s="7"/>
      <c r="O3" s="7"/>
      <c r="P3" s="7"/>
      <c r="Q3" s="7"/>
      <c r="R3" s="7"/>
      <c r="S3" s="7"/>
      <c r="T3" s="7"/>
      <c r="U3" s="10"/>
    </row>
    <row r="4" customFormat="false" ht="49.5" hidden="false" customHeight="true" outlineLevel="0" collapsed="false">
      <c r="A4" s="4"/>
      <c r="B4" s="5" t="s">
        <v>41</v>
      </c>
      <c r="C4" s="4"/>
      <c r="D4" s="4"/>
      <c r="E4" s="4"/>
      <c r="F4" s="6" t="n">
        <f aca="false">1.8*200*4184/86400*0.2*0.25</f>
        <v>0.871666666666667</v>
      </c>
      <c r="G4" s="5" t="s">
        <v>26</v>
      </c>
      <c r="H4" s="5" t="s">
        <v>42</v>
      </c>
      <c r="I4" s="5" t="s">
        <v>43</v>
      </c>
      <c r="J4" s="5" t="s">
        <v>44</v>
      </c>
      <c r="K4" s="5" t="s">
        <v>45</v>
      </c>
      <c r="L4" s="5" t="s">
        <v>46</v>
      </c>
      <c r="M4" s="7"/>
      <c r="N4" s="7"/>
      <c r="O4" s="7"/>
      <c r="P4" s="7"/>
      <c r="Q4" s="7"/>
      <c r="R4" s="7"/>
      <c r="S4" s="7"/>
      <c r="T4" s="7"/>
      <c r="U4" s="10"/>
    </row>
    <row r="5" customFormat="false" ht="39.75" hidden="false" customHeight="true" outlineLevel="0" collapsed="false">
      <c r="A5" s="4"/>
      <c r="B5" s="5" t="s">
        <v>47</v>
      </c>
      <c r="C5" s="4"/>
      <c r="D5" s="4"/>
      <c r="E5" s="4"/>
      <c r="F5" s="6" t="n">
        <f aca="false">0.31*440*4184/86400*0.15</f>
        <v>0.990794444444444</v>
      </c>
      <c r="G5" s="5" t="s">
        <v>26</v>
      </c>
      <c r="H5" s="5" t="s">
        <v>48</v>
      </c>
      <c r="I5" s="5" t="s">
        <v>49</v>
      </c>
      <c r="J5" s="5" t="s">
        <v>50</v>
      </c>
      <c r="K5" s="5" t="s">
        <v>51</v>
      </c>
      <c r="L5" s="5" t="s">
        <v>40</v>
      </c>
      <c r="M5" s="7"/>
      <c r="N5" s="7"/>
      <c r="O5" s="7"/>
      <c r="P5" s="7"/>
      <c r="Q5" s="7"/>
      <c r="R5" s="7"/>
      <c r="S5" s="7"/>
      <c r="T5" s="7"/>
      <c r="U5" s="10"/>
    </row>
    <row r="6" customFormat="false" ht="30" hidden="false" customHeight="true" outlineLevel="0" collapsed="false">
      <c r="A6" s="4"/>
      <c r="B6" s="5" t="s">
        <v>52</v>
      </c>
      <c r="C6" s="4"/>
      <c r="D6" s="4"/>
      <c r="E6" s="4"/>
      <c r="F6" s="6" t="n">
        <f aca="false">2.5*0.2</f>
        <v>0.5</v>
      </c>
      <c r="G6" s="5" t="s">
        <v>26</v>
      </c>
      <c r="H6" s="5" t="s">
        <v>53</v>
      </c>
      <c r="I6" s="5" t="s">
        <v>54</v>
      </c>
      <c r="J6" s="5" t="s">
        <v>55</v>
      </c>
      <c r="K6" s="5" t="s">
        <v>56</v>
      </c>
      <c r="L6" s="5" t="s">
        <v>57</v>
      </c>
      <c r="M6" s="7"/>
      <c r="N6" s="7"/>
      <c r="O6" s="7"/>
      <c r="P6" s="7"/>
      <c r="Q6" s="7"/>
      <c r="R6" s="7"/>
      <c r="S6" s="7"/>
      <c r="T6" s="7"/>
      <c r="U6" s="10"/>
    </row>
    <row r="7" customFormat="false" ht="39.75" hidden="false" customHeight="true" outlineLevel="0" collapsed="false">
      <c r="A7" s="4"/>
      <c r="B7" s="5" t="s">
        <v>58</v>
      </c>
      <c r="C7" s="4"/>
      <c r="D7" s="4"/>
      <c r="E7" s="4"/>
      <c r="F7" s="6" t="n">
        <f aca="false">5*0.25</f>
        <v>1.25</v>
      </c>
      <c r="G7" s="5" t="s">
        <v>26</v>
      </c>
      <c r="H7" s="5" t="s">
        <v>59</v>
      </c>
      <c r="I7" s="5" t="s">
        <v>60</v>
      </c>
      <c r="J7" s="5" t="s">
        <v>61</v>
      </c>
      <c r="K7" s="5" t="s">
        <v>62</v>
      </c>
      <c r="L7" s="5" t="s">
        <v>63</v>
      </c>
      <c r="M7" s="7"/>
      <c r="N7" s="7"/>
      <c r="O7" s="7"/>
      <c r="P7" s="7"/>
      <c r="Q7" s="7"/>
      <c r="R7" s="7"/>
      <c r="S7" s="7"/>
      <c r="T7" s="7"/>
      <c r="U7" s="10"/>
    </row>
    <row r="8" customFormat="false" ht="30" hidden="false" customHeight="true" outlineLevel="0" collapsed="false">
      <c r="A8" s="4"/>
      <c r="B8" s="5" t="s">
        <v>64</v>
      </c>
      <c r="C8" s="4"/>
      <c r="D8" s="4"/>
      <c r="E8" s="4"/>
      <c r="F8" s="6" t="n">
        <f aca="false">0</f>
        <v>0</v>
      </c>
      <c r="G8" s="5" t="s">
        <v>26</v>
      </c>
      <c r="H8" s="5" t="s">
        <v>65</v>
      </c>
      <c r="I8" s="5" t="s">
        <v>66</v>
      </c>
      <c r="J8" s="5" t="s">
        <v>67</v>
      </c>
      <c r="K8" s="5" t="s">
        <v>68</v>
      </c>
      <c r="L8" s="5" t="s">
        <v>69</v>
      </c>
      <c r="M8" s="7"/>
      <c r="N8" s="7"/>
      <c r="O8" s="7"/>
      <c r="P8" s="7"/>
      <c r="Q8" s="7"/>
      <c r="R8" s="7"/>
      <c r="S8" s="7"/>
      <c r="T8" s="7"/>
      <c r="U8" s="10"/>
    </row>
    <row r="9" customFormat="false" ht="39.75" hidden="false" customHeight="true" outlineLevel="0" collapsed="false">
      <c r="A9" s="4" t="s">
        <v>70</v>
      </c>
      <c r="B9" s="5" t="s">
        <v>71</v>
      </c>
      <c r="C9" s="4" t="s">
        <v>23</v>
      </c>
      <c r="D9" s="4" t="s">
        <v>24</v>
      </c>
      <c r="E9" s="4" t="s">
        <v>25</v>
      </c>
      <c r="F9" s="6" t="n">
        <v>1050</v>
      </c>
      <c r="G9" s="5" t="s">
        <v>26</v>
      </c>
      <c r="H9" s="5" t="s">
        <v>72</v>
      </c>
      <c r="I9" s="5" t="s">
        <v>73</v>
      </c>
      <c r="J9" s="5" t="s">
        <v>74</v>
      </c>
      <c r="K9" s="5" t="s">
        <v>75</v>
      </c>
      <c r="L9" s="5" t="s">
        <v>31</v>
      </c>
      <c r="M9" s="7" t="n">
        <f aca="false">SUM($F$9:$F$10)</f>
        <v>1050</v>
      </c>
      <c r="N9" s="7" t="n">
        <f aca="false">278.25*0.002</f>
        <v>0.5565</v>
      </c>
      <c r="O9" s="8" t="n">
        <f aca="false">M9*N9</f>
        <v>584.325</v>
      </c>
      <c r="P9" s="7" t="n">
        <f aca="false">110*5.3*1.12</f>
        <v>652.96</v>
      </c>
      <c r="Q9" s="9" t="n">
        <f aca="false">O9/P9</f>
        <v>0.894886363636364</v>
      </c>
      <c r="R9" s="8" t="n">
        <f aca="false">N9/P9</f>
        <v>0.000852272727272727</v>
      </c>
      <c r="S9" s="4" t="s">
        <v>76</v>
      </c>
      <c r="T9" s="4" t="s">
        <v>77</v>
      </c>
      <c r="U9" s="10" t="s">
        <v>78</v>
      </c>
    </row>
    <row r="10" customFormat="false" ht="49.5" hidden="false" customHeight="true" outlineLevel="0" collapsed="false">
      <c r="A10" s="4"/>
      <c r="B10" s="5" t="s">
        <v>79</v>
      </c>
      <c r="C10" s="4"/>
      <c r="D10" s="4"/>
      <c r="E10" s="4"/>
      <c r="F10" s="6" t="n">
        <v>0</v>
      </c>
      <c r="G10" s="5" t="s">
        <v>26</v>
      </c>
      <c r="H10" s="5" t="s">
        <v>80</v>
      </c>
      <c r="I10" s="5" t="s">
        <v>81</v>
      </c>
      <c r="J10" s="5" t="s">
        <v>82</v>
      </c>
      <c r="K10" s="5" t="s">
        <v>68</v>
      </c>
      <c r="L10" s="5" t="s">
        <v>69</v>
      </c>
      <c r="M10" s="7"/>
      <c r="N10" s="7"/>
      <c r="O10" s="7"/>
      <c r="P10" s="7"/>
      <c r="Q10" s="7"/>
      <c r="R10" s="7"/>
      <c r="S10" s="7"/>
      <c r="T10" s="7"/>
      <c r="U10" s="10"/>
    </row>
    <row r="11" customFormat="false" ht="60" hidden="false" customHeight="true" outlineLevel="0" collapsed="false">
      <c r="A11" s="4" t="s">
        <v>21</v>
      </c>
      <c r="B11" s="5" t="s">
        <v>22</v>
      </c>
      <c r="C11" s="4" t="s">
        <v>83</v>
      </c>
      <c r="D11" s="4" t="s">
        <v>24</v>
      </c>
      <c r="E11" s="4" t="s">
        <v>84</v>
      </c>
      <c r="F11" s="6" t="n">
        <f aca="false">20</f>
        <v>20</v>
      </c>
      <c r="G11" s="5" t="s">
        <v>26</v>
      </c>
      <c r="H11" s="5" t="s">
        <v>85</v>
      </c>
      <c r="I11" s="5" t="s">
        <v>86</v>
      </c>
      <c r="J11" s="5" t="s">
        <v>87</v>
      </c>
      <c r="K11" s="5" t="s">
        <v>88</v>
      </c>
      <c r="L11" s="5" t="s">
        <v>31</v>
      </c>
      <c r="M11" s="7" t="n">
        <f aca="false">SUM($F$11:$F$17)</f>
        <v>24.6671777777778</v>
      </c>
      <c r="N11" s="7" t="n">
        <v>180</v>
      </c>
      <c r="O11" s="8" t="n">
        <f aca="false">M11*N11</f>
        <v>4440.092</v>
      </c>
      <c r="P11" s="7" t="n">
        <v>2</v>
      </c>
      <c r="Q11" s="9" t="n">
        <f aca="false">O11/P11</f>
        <v>2220.046</v>
      </c>
      <c r="R11" s="8" t="n">
        <f aca="false">N11/P11</f>
        <v>90</v>
      </c>
      <c r="S11" s="4" t="s">
        <v>89</v>
      </c>
      <c r="T11" s="4" t="s">
        <v>33</v>
      </c>
      <c r="U11" s="10" t="s">
        <v>90</v>
      </c>
    </row>
    <row r="12" customFormat="false" ht="30" hidden="false" customHeight="true" outlineLevel="0" collapsed="false">
      <c r="A12" s="4"/>
      <c r="B12" s="5" t="s">
        <v>35</v>
      </c>
      <c r="C12" s="4"/>
      <c r="D12" s="4"/>
      <c r="E12" s="4"/>
      <c r="F12" s="6" t="n">
        <f aca="false">0.33*440*4184/86400*0.15</f>
        <v>1.05471666666667</v>
      </c>
      <c r="G12" s="5" t="s">
        <v>26</v>
      </c>
      <c r="H12" s="5" t="s">
        <v>36</v>
      </c>
      <c r="I12" s="5" t="s">
        <v>37</v>
      </c>
      <c r="J12" s="5" t="s">
        <v>38</v>
      </c>
      <c r="K12" s="5" t="s">
        <v>39</v>
      </c>
      <c r="L12" s="5" t="s">
        <v>40</v>
      </c>
      <c r="M12" s="7"/>
      <c r="N12" s="7"/>
      <c r="O12" s="7"/>
      <c r="P12" s="7"/>
      <c r="Q12" s="7"/>
      <c r="R12" s="7"/>
      <c r="S12" s="7"/>
      <c r="T12" s="7"/>
      <c r="U12" s="10"/>
    </row>
    <row r="13" customFormat="false" ht="49.5" hidden="false" customHeight="true" outlineLevel="0" collapsed="false">
      <c r="A13" s="4"/>
      <c r="B13" s="5" t="s">
        <v>41</v>
      </c>
      <c r="C13" s="4"/>
      <c r="D13" s="4"/>
      <c r="E13" s="4"/>
      <c r="F13" s="6" t="n">
        <f aca="false">1.8*200*4184/86400*0.2*0.25</f>
        <v>0.871666666666667</v>
      </c>
      <c r="G13" s="5" t="s">
        <v>26</v>
      </c>
      <c r="H13" s="5" t="s">
        <v>42</v>
      </c>
      <c r="I13" s="5" t="s">
        <v>43</v>
      </c>
      <c r="J13" s="5" t="s">
        <v>44</v>
      </c>
      <c r="K13" s="5" t="s">
        <v>45</v>
      </c>
      <c r="L13" s="5" t="s">
        <v>46</v>
      </c>
      <c r="M13" s="7"/>
      <c r="N13" s="7"/>
      <c r="O13" s="7"/>
      <c r="P13" s="7"/>
      <c r="Q13" s="7"/>
      <c r="R13" s="7"/>
      <c r="S13" s="7"/>
      <c r="T13" s="7"/>
      <c r="U13" s="10"/>
    </row>
    <row r="14" customFormat="false" ht="39.75" hidden="false" customHeight="true" outlineLevel="0" collapsed="false">
      <c r="A14" s="4"/>
      <c r="B14" s="5" t="s">
        <v>47</v>
      </c>
      <c r="C14" s="4"/>
      <c r="D14" s="4"/>
      <c r="E14" s="4"/>
      <c r="F14" s="6" t="n">
        <f aca="false">0.31*440*4184/86400*0.15</f>
        <v>0.990794444444444</v>
      </c>
      <c r="G14" s="5" t="s">
        <v>26</v>
      </c>
      <c r="H14" s="5" t="s">
        <v>48</v>
      </c>
      <c r="I14" s="5" t="s">
        <v>49</v>
      </c>
      <c r="J14" s="5" t="s">
        <v>50</v>
      </c>
      <c r="K14" s="5" t="s">
        <v>51</v>
      </c>
      <c r="L14" s="5" t="s">
        <v>40</v>
      </c>
      <c r="M14" s="7"/>
      <c r="N14" s="7"/>
      <c r="O14" s="7"/>
      <c r="P14" s="7"/>
      <c r="Q14" s="7"/>
      <c r="R14" s="7"/>
      <c r="S14" s="7"/>
      <c r="T14" s="7"/>
      <c r="U14" s="10"/>
    </row>
    <row r="15" customFormat="false" ht="30" hidden="false" customHeight="true" outlineLevel="0" collapsed="false">
      <c r="A15" s="4"/>
      <c r="B15" s="5" t="s">
        <v>52</v>
      </c>
      <c r="C15" s="4"/>
      <c r="D15" s="4"/>
      <c r="E15" s="4"/>
      <c r="F15" s="6" t="n">
        <f aca="false">2.5*0.2</f>
        <v>0.5</v>
      </c>
      <c r="G15" s="5" t="s">
        <v>26</v>
      </c>
      <c r="H15" s="5" t="s">
        <v>53</v>
      </c>
      <c r="I15" s="5" t="s">
        <v>54</v>
      </c>
      <c r="J15" s="5" t="s">
        <v>55</v>
      </c>
      <c r="K15" s="5" t="s">
        <v>56</v>
      </c>
      <c r="L15" s="5" t="s">
        <v>57</v>
      </c>
      <c r="M15" s="7"/>
      <c r="N15" s="7"/>
      <c r="O15" s="7"/>
      <c r="P15" s="7"/>
      <c r="Q15" s="7"/>
      <c r="R15" s="7"/>
      <c r="S15" s="7"/>
      <c r="T15" s="7"/>
      <c r="U15" s="10"/>
    </row>
    <row r="16" customFormat="false" ht="39.75" hidden="false" customHeight="true" outlineLevel="0" collapsed="false">
      <c r="A16" s="4"/>
      <c r="B16" s="5" t="s">
        <v>58</v>
      </c>
      <c r="C16" s="4"/>
      <c r="D16" s="4"/>
      <c r="E16" s="4"/>
      <c r="F16" s="6" t="n">
        <f aca="false">5*0.25</f>
        <v>1.25</v>
      </c>
      <c r="G16" s="5" t="s">
        <v>26</v>
      </c>
      <c r="H16" s="5" t="s">
        <v>59</v>
      </c>
      <c r="I16" s="5" t="s">
        <v>60</v>
      </c>
      <c r="J16" s="5" t="s">
        <v>61</v>
      </c>
      <c r="K16" s="5" t="s">
        <v>62</v>
      </c>
      <c r="L16" s="5" t="s">
        <v>63</v>
      </c>
      <c r="M16" s="7"/>
      <c r="N16" s="7"/>
      <c r="O16" s="7"/>
      <c r="P16" s="7"/>
      <c r="Q16" s="7"/>
      <c r="R16" s="7"/>
      <c r="S16" s="7"/>
      <c r="T16" s="7"/>
      <c r="U16" s="10"/>
    </row>
    <row r="17" customFormat="false" ht="30" hidden="false" customHeight="true" outlineLevel="0" collapsed="false">
      <c r="A17" s="4"/>
      <c r="B17" s="5" t="s">
        <v>64</v>
      </c>
      <c r="C17" s="4"/>
      <c r="D17" s="4"/>
      <c r="E17" s="4"/>
      <c r="F17" s="6" t="n">
        <f aca="false">0</f>
        <v>0</v>
      </c>
      <c r="G17" s="5" t="s">
        <v>26</v>
      </c>
      <c r="H17" s="5" t="s">
        <v>65</v>
      </c>
      <c r="I17" s="5" t="s">
        <v>66</v>
      </c>
      <c r="J17" s="5" t="s">
        <v>67</v>
      </c>
      <c r="K17" s="5" t="s">
        <v>68</v>
      </c>
      <c r="L17" s="5" t="s">
        <v>69</v>
      </c>
      <c r="M17" s="7"/>
      <c r="N17" s="7"/>
      <c r="O17" s="7"/>
      <c r="P17" s="7"/>
      <c r="Q17" s="7"/>
      <c r="R17" s="7"/>
      <c r="S17" s="7"/>
      <c r="T17" s="7"/>
      <c r="U17" s="10"/>
    </row>
    <row r="18" customFormat="false" ht="30" hidden="false" customHeight="true" outlineLevel="0" collapsed="false">
      <c r="A18" s="4" t="s">
        <v>70</v>
      </c>
      <c r="B18" s="5" t="s">
        <v>71</v>
      </c>
      <c r="C18" s="4" t="s">
        <v>83</v>
      </c>
      <c r="D18" s="4" t="s">
        <v>24</v>
      </c>
      <c r="E18" s="4" t="s">
        <v>84</v>
      </c>
      <c r="F18" s="6" t="n">
        <v>1050</v>
      </c>
      <c r="G18" s="5" t="s">
        <v>26</v>
      </c>
      <c r="H18" s="5" t="s">
        <v>91</v>
      </c>
      <c r="I18" s="5" t="s">
        <v>92</v>
      </c>
      <c r="J18" s="5" t="s">
        <v>93</v>
      </c>
      <c r="K18" s="5" t="s">
        <v>75</v>
      </c>
      <c r="L18" s="5" t="s">
        <v>31</v>
      </c>
      <c r="M18" s="7" t="n">
        <f aca="false">SUM($F$18:$F$19)</f>
        <v>1050</v>
      </c>
      <c r="N18" s="7" t="n">
        <v>1.769</v>
      </c>
      <c r="O18" s="8" t="n">
        <f aca="false">M18*N18</f>
        <v>1857.45</v>
      </c>
      <c r="P18" s="7" t="n">
        <v>2</v>
      </c>
      <c r="Q18" s="9" t="n">
        <f aca="false">O18/P18</f>
        <v>928.725</v>
      </c>
      <c r="R18" s="8" t="n">
        <f aca="false">N18/P18</f>
        <v>0.8845</v>
      </c>
      <c r="S18" s="4" t="s">
        <v>94</v>
      </c>
      <c r="T18" s="4" t="s">
        <v>77</v>
      </c>
      <c r="U18" s="10" t="s">
        <v>95</v>
      </c>
    </row>
    <row r="19" customFormat="false" ht="49.5" hidden="false" customHeight="true" outlineLevel="0" collapsed="false">
      <c r="A19" s="4"/>
      <c r="B19" s="5" t="s">
        <v>79</v>
      </c>
      <c r="C19" s="4"/>
      <c r="D19" s="4"/>
      <c r="E19" s="4"/>
      <c r="F19" s="6" t="n">
        <v>0</v>
      </c>
      <c r="G19" s="5" t="s">
        <v>26</v>
      </c>
      <c r="H19" s="5" t="s">
        <v>80</v>
      </c>
      <c r="I19" s="5" t="s">
        <v>81</v>
      </c>
      <c r="J19" s="5" t="s">
        <v>82</v>
      </c>
      <c r="K19" s="5" t="s">
        <v>68</v>
      </c>
      <c r="L19" s="5" t="s">
        <v>69</v>
      </c>
      <c r="M19" s="7"/>
      <c r="N19" s="7"/>
      <c r="O19" s="7"/>
      <c r="P19" s="7"/>
      <c r="Q19" s="7"/>
      <c r="R19" s="7"/>
      <c r="S19" s="7"/>
      <c r="T19" s="7"/>
      <c r="U19" s="10"/>
    </row>
    <row r="20" customFormat="false" ht="49.5" hidden="false" customHeight="true" outlineLevel="0" collapsed="false">
      <c r="A20" s="4" t="s">
        <v>21</v>
      </c>
      <c r="B20" s="5" t="s">
        <v>22</v>
      </c>
      <c r="C20" s="4" t="s">
        <v>96</v>
      </c>
      <c r="D20" s="4" t="s">
        <v>24</v>
      </c>
      <c r="E20" s="4" t="s">
        <v>97</v>
      </c>
      <c r="F20" s="6" t="n">
        <f aca="false">20</f>
        <v>20</v>
      </c>
      <c r="G20" s="5" t="s">
        <v>26</v>
      </c>
      <c r="H20" s="5" t="s">
        <v>27</v>
      </c>
      <c r="I20" s="5" t="s">
        <v>98</v>
      </c>
      <c r="J20" s="5" t="s">
        <v>29</v>
      </c>
      <c r="K20" s="5" t="s">
        <v>30</v>
      </c>
      <c r="L20" s="5" t="s">
        <v>31</v>
      </c>
      <c r="M20" s="7" t="n">
        <f aca="false">SUM($F$20:$F$26)</f>
        <v>24.6671777777778</v>
      </c>
      <c r="N20" s="7" t="n">
        <v>20168.07</v>
      </c>
      <c r="O20" s="8" t="n">
        <f aca="false">M20*N20</f>
        <v>497489.368124667</v>
      </c>
      <c r="P20" s="7" t="n">
        <v>474880</v>
      </c>
      <c r="Q20" s="9" t="n">
        <f aca="false">O20/P20</f>
        <v>1.04761069770188</v>
      </c>
      <c r="R20" s="8" t="n">
        <f aca="false">N20/P20</f>
        <v>0.0424698239555256</v>
      </c>
      <c r="S20" s="4" t="s">
        <v>32</v>
      </c>
      <c r="T20" s="4" t="s">
        <v>33</v>
      </c>
      <c r="U20" s="10" t="s">
        <v>99</v>
      </c>
    </row>
    <row r="21" customFormat="false" ht="30" hidden="false" customHeight="true" outlineLevel="0" collapsed="false">
      <c r="A21" s="4"/>
      <c r="B21" s="5" t="s">
        <v>35</v>
      </c>
      <c r="C21" s="4"/>
      <c r="D21" s="4"/>
      <c r="E21" s="4"/>
      <c r="F21" s="6" t="n">
        <f aca="false">0.33*440*4184/86400*0.15</f>
        <v>1.05471666666667</v>
      </c>
      <c r="G21" s="5" t="s">
        <v>26</v>
      </c>
      <c r="H21" s="5" t="s">
        <v>36</v>
      </c>
      <c r="I21" s="5" t="s">
        <v>37</v>
      </c>
      <c r="J21" s="5" t="s">
        <v>38</v>
      </c>
      <c r="K21" s="5" t="s">
        <v>39</v>
      </c>
      <c r="L21" s="5" t="s">
        <v>40</v>
      </c>
      <c r="M21" s="7"/>
      <c r="N21" s="7"/>
      <c r="O21" s="7"/>
      <c r="P21" s="7"/>
      <c r="Q21" s="7"/>
      <c r="R21" s="7"/>
      <c r="S21" s="7"/>
      <c r="T21" s="7"/>
      <c r="U21" s="10"/>
    </row>
    <row r="22" customFormat="false" ht="49.5" hidden="false" customHeight="true" outlineLevel="0" collapsed="false">
      <c r="A22" s="4"/>
      <c r="B22" s="5" t="s">
        <v>41</v>
      </c>
      <c r="C22" s="4"/>
      <c r="D22" s="4"/>
      <c r="E22" s="4"/>
      <c r="F22" s="6" t="n">
        <f aca="false">1.8*200*4184/86400*0.2*0.25</f>
        <v>0.871666666666667</v>
      </c>
      <c r="G22" s="5" t="s">
        <v>26</v>
      </c>
      <c r="H22" s="5" t="s">
        <v>42</v>
      </c>
      <c r="I22" s="5" t="s">
        <v>43</v>
      </c>
      <c r="J22" s="5" t="s">
        <v>44</v>
      </c>
      <c r="K22" s="5" t="s">
        <v>45</v>
      </c>
      <c r="L22" s="5" t="s">
        <v>46</v>
      </c>
      <c r="M22" s="7"/>
      <c r="N22" s="7"/>
      <c r="O22" s="7"/>
      <c r="P22" s="7"/>
      <c r="Q22" s="7"/>
      <c r="R22" s="7"/>
      <c r="S22" s="7"/>
      <c r="T22" s="7"/>
      <c r="U22" s="10"/>
    </row>
    <row r="23" customFormat="false" ht="39.75" hidden="false" customHeight="true" outlineLevel="0" collapsed="false">
      <c r="A23" s="4"/>
      <c r="B23" s="5" t="s">
        <v>47</v>
      </c>
      <c r="C23" s="4"/>
      <c r="D23" s="4"/>
      <c r="E23" s="4"/>
      <c r="F23" s="6" t="n">
        <f aca="false">0.31*440*4184/86400*0.15</f>
        <v>0.990794444444444</v>
      </c>
      <c r="G23" s="5" t="s">
        <v>26</v>
      </c>
      <c r="H23" s="5" t="s">
        <v>48</v>
      </c>
      <c r="I23" s="5" t="s">
        <v>49</v>
      </c>
      <c r="J23" s="5" t="s">
        <v>50</v>
      </c>
      <c r="K23" s="5" t="s">
        <v>51</v>
      </c>
      <c r="L23" s="5" t="s">
        <v>40</v>
      </c>
      <c r="M23" s="7"/>
      <c r="N23" s="7"/>
      <c r="O23" s="7"/>
      <c r="P23" s="7"/>
      <c r="Q23" s="7"/>
      <c r="R23" s="7"/>
      <c r="S23" s="7"/>
      <c r="T23" s="7"/>
      <c r="U23" s="10"/>
    </row>
    <row r="24" customFormat="false" ht="30" hidden="false" customHeight="true" outlineLevel="0" collapsed="false">
      <c r="A24" s="4"/>
      <c r="B24" s="5" t="s">
        <v>52</v>
      </c>
      <c r="C24" s="4"/>
      <c r="D24" s="4"/>
      <c r="E24" s="4"/>
      <c r="F24" s="6" t="n">
        <f aca="false">2.5*0.2</f>
        <v>0.5</v>
      </c>
      <c r="G24" s="5" t="s">
        <v>26</v>
      </c>
      <c r="H24" s="5" t="s">
        <v>53</v>
      </c>
      <c r="I24" s="5" t="s">
        <v>54</v>
      </c>
      <c r="J24" s="5" t="s">
        <v>55</v>
      </c>
      <c r="K24" s="5" t="s">
        <v>56</v>
      </c>
      <c r="L24" s="5" t="s">
        <v>57</v>
      </c>
      <c r="M24" s="7"/>
      <c r="N24" s="7"/>
      <c r="O24" s="7"/>
      <c r="P24" s="7"/>
      <c r="Q24" s="7"/>
      <c r="R24" s="7"/>
      <c r="S24" s="7"/>
      <c r="T24" s="7"/>
      <c r="U24" s="10"/>
    </row>
    <row r="25" customFormat="false" ht="39.75" hidden="false" customHeight="true" outlineLevel="0" collapsed="false">
      <c r="A25" s="4"/>
      <c r="B25" s="5" t="s">
        <v>58</v>
      </c>
      <c r="C25" s="4"/>
      <c r="D25" s="4"/>
      <c r="E25" s="4"/>
      <c r="F25" s="6" t="n">
        <f aca="false">5*0.25</f>
        <v>1.25</v>
      </c>
      <c r="G25" s="5" t="s">
        <v>26</v>
      </c>
      <c r="H25" s="5" t="s">
        <v>59</v>
      </c>
      <c r="I25" s="5" t="s">
        <v>60</v>
      </c>
      <c r="J25" s="5" t="s">
        <v>61</v>
      </c>
      <c r="K25" s="5" t="s">
        <v>62</v>
      </c>
      <c r="L25" s="5" t="s">
        <v>63</v>
      </c>
      <c r="M25" s="7"/>
      <c r="N25" s="7"/>
      <c r="O25" s="7"/>
      <c r="P25" s="7"/>
      <c r="Q25" s="7"/>
      <c r="R25" s="7"/>
      <c r="S25" s="7"/>
      <c r="T25" s="7"/>
      <c r="U25" s="10"/>
    </row>
    <row r="26" customFormat="false" ht="30" hidden="false" customHeight="true" outlineLevel="0" collapsed="false">
      <c r="A26" s="4"/>
      <c r="B26" s="5" t="s">
        <v>64</v>
      </c>
      <c r="C26" s="4"/>
      <c r="D26" s="4"/>
      <c r="E26" s="4"/>
      <c r="F26" s="6" t="n">
        <f aca="false">0</f>
        <v>0</v>
      </c>
      <c r="G26" s="5" t="s">
        <v>26</v>
      </c>
      <c r="H26" s="5" t="s">
        <v>65</v>
      </c>
      <c r="I26" s="5" t="s">
        <v>66</v>
      </c>
      <c r="J26" s="5" t="s">
        <v>67</v>
      </c>
      <c r="K26" s="5" t="s">
        <v>68</v>
      </c>
      <c r="L26" s="5" t="s">
        <v>69</v>
      </c>
      <c r="M26" s="7"/>
      <c r="N26" s="7"/>
      <c r="O26" s="7"/>
      <c r="P26" s="7"/>
      <c r="Q26" s="7"/>
      <c r="R26" s="7"/>
      <c r="S26" s="7"/>
      <c r="T26" s="7"/>
      <c r="U26" s="10"/>
    </row>
    <row r="27" customFormat="false" ht="49.5" hidden="false" customHeight="true" outlineLevel="0" collapsed="false">
      <c r="A27" s="4" t="s">
        <v>70</v>
      </c>
      <c r="B27" s="5" t="s">
        <v>71</v>
      </c>
      <c r="C27" s="4" t="s">
        <v>96</v>
      </c>
      <c r="D27" s="4" t="s">
        <v>24</v>
      </c>
      <c r="E27" s="4" t="s">
        <v>97</v>
      </c>
      <c r="F27" s="6" t="n">
        <v>1050</v>
      </c>
      <c r="G27" s="5" t="s">
        <v>26</v>
      </c>
      <c r="H27" s="5" t="s">
        <v>100</v>
      </c>
      <c r="I27" s="5" t="s">
        <v>101</v>
      </c>
      <c r="J27" s="5" t="s">
        <v>74</v>
      </c>
      <c r="K27" s="5" t="s">
        <v>75</v>
      </c>
      <c r="L27" s="5" t="s">
        <v>31</v>
      </c>
      <c r="M27" s="7" t="n">
        <f aca="false">SUM($F$27:$F$28)</f>
        <v>1050</v>
      </c>
      <c r="N27" s="7" t="n">
        <v>137.1429</v>
      </c>
      <c r="O27" s="8" t="n">
        <f aca="false">M27*N27</f>
        <v>144000.045</v>
      </c>
      <c r="P27" s="7" t="n">
        <v>474880</v>
      </c>
      <c r="Q27" s="9" t="n">
        <f aca="false">O27/P27</f>
        <v>0.303234596108491</v>
      </c>
      <c r="R27" s="8" t="n">
        <f aca="false">N27/P27</f>
        <v>0.000288794853436658</v>
      </c>
      <c r="S27" s="4" t="s">
        <v>76</v>
      </c>
      <c r="T27" s="4" t="s">
        <v>77</v>
      </c>
      <c r="U27" s="10" t="s">
        <v>99</v>
      </c>
    </row>
    <row r="28" customFormat="false" ht="39.75" hidden="false" customHeight="true" outlineLevel="0" collapsed="false">
      <c r="A28" s="4"/>
      <c r="B28" s="5" t="s">
        <v>79</v>
      </c>
      <c r="C28" s="4"/>
      <c r="D28" s="4"/>
      <c r="E28" s="4"/>
      <c r="F28" s="6" t="n">
        <v>0</v>
      </c>
      <c r="G28" s="5" t="s">
        <v>26</v>
      </c>
      <c r="H28" s="5" t="s">
        <v>80</v>
      </c>
      <c r="I28" s="5" t="s">
        <v>101</v>
      </c>
      <c r="J28" s="5" t="s">
        <v>82</v>
      </c>
      <c r="K28" s="5" t="s">
        <v>68</v>
      </c>
      <c r="L28" s="5" t="s">
        <v>69</v>
      </c>
      <c r="M28" s="7"/>
      <c r="N28" s="7"/>
      <c r="O28" s="7"/>
      <c r="P28" s="7"/>
      <c r="Q28" s="7"/>
      <c r="R28" s="7"/>
      <c r="S28" s="7"/>
      <c r="T28" s="7"/>
      <c r="U28" s="10"/>
    </row>
    <row r="29" customFormat="false" ht="49.5" hidden="false" customHeight="true" outlineLevel="0" collapsed="false">
      <c r="A29" s="4" t="s">
        <v>21</v>
      </c>
      <c r="B29" s="5" t="s">
        <v>22</v>
      </c>
      <c r="C29" s="4" t="s">
        <v>102</v>
      </c>
      <c r="D29" s="4" t="s">
        <v>24</v>
      </c>
      <c r="E29" s="4" t="s">
        <v>103</v>
      </c>
      <c r="F29" s="6" t="n">
        <f aca="false">20</f>
        <v>20</v>
      </c>
      <c r="G29" s="5" t="s">
        <v>26</v>
      </c>
      <c r="H29" s="5" t="s">
        <v>27</v>
      </c>
      <c r="I29" s="5" t="s">
        <v>98</v>
      </c>
      <c r="J29" s="5" t="s">
        <v>29</v>
      </c>
      <c r="K29" s="5" t="s">
        <v>30</v>
      </c>
      <c r="L29" s="5" t="s">
        <v>31</v>
      </c>
      <c r="M29" s="7" t="n">
        <f aca="false">SUM($F$29:$F$35)</f>
        <v>24.6671777777778</v>
      </c>
      <c r="N29" s="7" t="n">
        <v>720</v>
      </c>
      <c r="O29" s="8" t="n">
        <f aca="false">M29*N29</f>
        <v>17760.368</v>
      </c>
      <c r="P29" s="7" t="n">
        <v>9.9658</v>
      </c>
      <c r="Q29" s="9" t="n">
        <f aca="false">O29/P29</f>
        <v>1782.1316903811</v>
      </c>
      <c r="R29" s="8" t="n">
        <f aca="false">N29/P29</f>
        <v>72.2470850308054</v>
      </c>
      <c r="S29" s="4" t="s">
        <v>32</v>
      </c>
      <c r="T29" s="4" t="s">
        <v>33</v>
      </c>
      <c r="U29" s="10" t="s">
        <v>104</v>
      </c>
    </row>
    <row r="30" customFormat="false" ht="30" hidden="false" customHeight="true" outlineLevel="0" collapsed="false">
      <c r="A30" s="4"/>
      <c r="B30" s="5" t="s">
        <v>35</v>
      </c>
      <c r="C30" s="4"/>
      <c r="D30" s="4"/>
      <c r="E30" s="4"/>
      <c r="F30" s="6" t="n">
        <f aca="false">0.33*440*4184/86400*0.15</f>
        <v>1.05471666666667</v>
      </c>
      <c r="G30" s="5" t="s">
        <v>26</v>
      </c>
      <c r="H30" s="5" t="s">
        <v>36</v>
      </c>
      <c r="I30" s="5" t="s">
        <v>37</v>
      </c>
      <c r="J30" s="5" t="s">
        <v>38</v>
      </c>
      <c r="K30" s="5" t="s">
        <v>39</v>
      </c>
      <c r="L30" s="5" t="s">
        <v>40</v>
      </c>
      <c r="M30" s="7"/>
      <c r="N30" s="7"/>
      <c r="O30" s="7"/>
      <c r="P30" s="7"/>
      <c r="Q30" s="7"/>
      <c r="R30" s="7"/>
      <c r="S30" s="7"/>
      <c r="T30" s="7"/>
      <c r="U30" s="10"/>
    </row>
    <row r="31" customFormat="false" ht="49.5" hidden="false" customHeight="true" outlineLevel="0" collapsed="false">
      <c r="A31" s="4"/>
      <c r="B31" s="5" t="s">
        <v>41</v>
      </c>
      <c r="C31" s="4"/>
      <c r="D31" s="4"/>
      <c r="E31" s="4"/>
      <c r="F31" s="6" t="n">
        <f aca="false">1.8*200*4184/86400*0.2*0.25</f>
        <v>0.871666666666667</v>
      </c>
      <c r="G31" s="5" t="s">
        <v>26</v>
      </c>
      <c r="H31" s="5" t="s">
        <v>42</v>
      </c>
      <c r="I31" s="5" t="s">
        <v>43</v>
      </c>
      <c r="J31" s="5" t="s">
        <v>44</v>
      </c>
      <c r="K31" s="5" t="s">
        <v>45</v>
      </c>
      <c r="L31" s="5" t="s">
        <v>46</v>
      </c>
      <c r="M31" s="7"/>
      <c r="N31" s="7"/>
      <c r="O31" s="7"/>
      <c r="P31" s="7"/>
      <c r="Q31" s="7"/>
      <c r="R31" s="7"/>
      <c r="S31" s="7"/>
      <c r="T31" s="7"/>
      <c r="U31" s="10"/>
    </row>
    <row r="32" customFormat="false" ht="39.75" hidden="false" customHeight="true" outlineLevel="0" collapsed="false">
      <c r="A32" s="4"/>
      <c r="B32" s="5" t="s">
        <v>47</v>
      </c>
      <c r="C32" s="4"/>
      <c r="D32" s="4"/>
      <c r="E32" s="4"/>
      <c r="F32" s="6" t="n">
        <f aca="false">0.31*440*4184/86400*0.15</f>
        <v>0.990794444444444</v>
      </c>
      <c r="G32" s="5" t="s">
        <v>26</v>
      </c>
      <c r="H32" s="5" t="s">
        <v>48</v>
      </c>
      <c r="I32" s="5" t="s">
        <v>49</v>
      </c>
      <c r="J32" s="5" t="s">
        <v>50</v>
      </c>
      <c r="K32" s="5" t="s">
        <v>51</v>
      </c>
      <c r="L32" s="5" t="s">
        <v>40</v>
      </c>
      <c r="M32" s="7"/>
      <c r="N32" s="7"/>
      <c r="O32" s="7"/>
      <c r="P32" s="7"/>
      <c r="Q32" s="7"/>
      <c r="R32" s="7"/>
      <c r="S32" s="7"/>
      <c r="T32" s="7"/>
      <c r="U32" s="10"/>
    </row>
    <row r="33" customFormat="false" ht="30" hidden="false" customHeight="true" outlineLevel="0" collapsed="false">
      <c r="A33" s="4"/>
      <c r="B33" s="5" t="s">
        <v>52</v>
      </c>
      <c r="C33" s="4"/>
      <c r="D33" s="4"/>
      <c r="E33" s="4"/>
      <c r="F33" s="6" t="n">
        <f aca="false">2.5*0.2</f>
        <v>0.5</v>
      </c>
      <c r="G33" s="5" t="s">
        <v>26</v>
      </c>
      <c r="H33" s="5" t="s">
        <v>53</v>
      </c>
      <c r="I33" s="5" t="s">
        <v>54</v>
      </c>
      <c r="J33" s="5" t="s">
        <v>55</v>
      </c>
      <c r="K33" s="5" t="s">
        <v>56</v>
      </c>
      <c r="L33" s="5" t="s">
        <v>57</v>
      </c>
      <c r="M33" s="7"/>
      <c r="N33" s="7"/>
      <c r="O33" s="7"/>
      <c r="P33" s="7"/>
      <c r="Q33" s="7"/>
      <c r="R33" s="7"/>
      <c r="S33" s="7"/>
      <c r="T33" s="7"/>
      <c r="U33" s="10"/>
    </row>
    <row r="34" customFormat="false" ht="39.75" hidden="false" customHeight="true" outlineLevel="0" collapsed="false">
      <c r="A34" s="4"/>
      <c r="B34" s="5" t="s">
        <v>58</v>
      </c>
      <c r="C34" s="4"/>
      <c r="D34" s="4"/>
      <c r="E34" s="4"/>
      <c r="F34" s="6" t="n">
        <f aca="false">5*0.25</f>
        <v>1.25</v>
      </c>
      <c r="G34" s="5" t="s">
        <v>26</v>
      </c>
      <c r="H34" s="5" t="s">
        <v>59</v>
      </c>
      <c r="I34" s="5" t="s">
        <v>60</v>
      </c>
      <c r="J34" s="5" t="s">
        <v>61</v>
      </c>
      <c r="K34" s="5" t="s">
        <v>62</v>
      </c>
      <c r="L34" s="5" t="s">
        <v>63</v>
      </c>
      <c r="M34" s="7"/>
      <c r="N34" s="7"/>
      <c r="O34" s="7"/>
      <c r="P34" s="7"/>
      <c r="Q34" s="7"/>
      <c r="R34" s="7"/>
      <c r="S34" s="7"/>
      <c r="T34" s="7"/>
      <c r="U34" s="10"/>
    </row>
    <row r="35" customFormat="false" ht="30" hidden="false" customHeight="true" outlineLevel="0" collapsed="false">
      <c r="A35" s="4"/>
      <c r="B35" s="5" t="s">
        <v>64</v>
      </c>
      <c r="C35" s="4"/>
      <c r="D35" s="4"/>
      <c r="E35" s="4"/>
      <c r="F35" s="6" t="n">
        <f aca="false">0</f>
        <v>0</v>
      </c>
      <c r="G35" s="5" t="s">
        <v>26</v>
      </c>
      <c r="H35" s="5" t="s">
        <v>65</v>
      </c>
      <c r="I35" s="5" t="s">
        <v>66</v>
      </c>
      <c r="J35" s="5" t="s">
        <v>67</v>
      </c>
      <c r="K35" s="5" t="s">
        <v>68</v>
      </c>
      <c r="L35" s="5" t="s">
        <v>69</v>
      </c>
      <c r="M35" s="7"/>
      <c r="N35" s="7"/>
      <c r="O35" s="7"/>
      <c r="P35" s="7"/>
      <c r="Q35" s="7"/>
      <c r="R35" s="7"/>
      <c r="S35" s="7"/>
      <c r="T35" s="7"/>
      <c r="U35" s="10"/>
    </row>
    <row r="36" customFormat="false" ht="90" hidden="false" customHeight="true" outlineLevel="0" collapsed="false">
      <c r="A36" s="4" t="s">
        <v>70</v>
      </c>
      <c r="B36" s="5" t="s">
        <v>71</v>
      </c>
      <c r="C36" s="4" t="s">
        <v>102</v>
      </c>
      <c r="D36" s="4" t="s">
        <v>24</v>
      </c>
      <c r="E36" s="4" t="s">
        <v>103</v>
      </c>
      <c r="F36" s="6" t="n">
        <v>1050</v>
      </c>
      <c r="G36" s="5" t="s">
        <v>26</v>
      </c>
      <c r="H36" s="5" t="s">
        <v>105</v>
      </c>
      <c r="I36" s="5" t="s">
        <v>73</v>
      </c>
      <c r="J36" s="5" t="s">
        <v>74</v>
      </c>
      <c r="K36" s="5" t="s">
        <v>75</v>
      </c>
      <c r="L36" s="5" t="s">
        <v>31</v>
      </c>
      <c r="M36" s="7" t="n">
        <f aca="false">SUM($F$36:$F$37)</f>
        <v>1050</v>
      </c>
      <c r="N36" s="7" t="n">
        <v>20.169</v>
      </c>
      <c r="O36" s="8" t="n">
        <f aca="false">M36*N36</f>
        <v>21177.45</v>
      </c>
      <c r="P36" s="7" t="n">
        <v>9.9658</v>
      </c>
      <c r="Q36" s="9" t="n">
        <f aca="false">O36/P36</f>
        <v>2125.01254289671</v>
      </c>
      <c r="R36" s="8" t="n">
        <f aca="false">N36/P36</f>
        <v>2.02382146942544</v>
      </c>
      <c r="S36" s="4" t="s">
        <v>76</v>
      </c>
      <c r="T36" s="4" t="s">
        <v>77</v>
      </c>
      <c r="U36" s="10" t="s">
        <v>106</v>
      </c>
    </row>
    <row r="37" customFormat="false" ht="49.5" hidden="false" customHeight="true" outlineLevel="0" collapsed="false">
      <c r="A37" s="4"/>
      <c r="B37" s="5" t="s">
        <v>79</v>
      </c>
      <c r="C37" s="4"/>
      <c r="D37" s="4"/>
      <c r="E37" s="4"/>
      <c r="F37" s="6" t="n">
        <v>0</v>
      </c>
      <c r="G37" s="5" t="s">
        <v>26</v>
      </c>
      <c r="H37" s="5" t="s">
        <v>80</v>
      </c>
      <c r="I37" s="5" t="s">
        <v>81</v>
      </c>
      <c r="J37" s="5" t="s">
        <v>82</v>
      </c>
      <c r="K37" s="5" t="s">
        <v>68</v>
      </c>
      <c r="L37" s="5" t="s">
        <v>69</v>
      </c>
      <c r="M37" s="7"/>
      <c r="N37" s="7"/>
      <c r="O37" s="7"/>
      <c r="P37" s="7"/>
      <c r="Q37" s="7"/>
      <c r="R37" s="7"/>
      <c r="S37" s="7"/>
      <c r="T37" s="7"/>
      <c r="U37" s="10"/>
    </row>
    <row r="38" customFormat="false" ht="60" hidden="false" customHeight="true" outlineLevel="0" collapsed="false">
      <c r="A38" s="5" t="s">
        <v>107</v>
      </c>
      <c r="B38" s="5" t="s">
        <v>108</v>
      </c>
      <c r="C38" s="5" t="s">
        <v>109</v>
      </c>
      <c r="D38" s="5" t="s">
        <v>24</v>
      </c>
      <c r="E38" s="5" t="s">
        <v>25</v>
      </c>
      <c r="F38" s="6" t="n">
        <v>600</v>
      </c>
      <c r="G38" s="5" t="s">
        <v>26</v>
      </c>
      <c r="H38" s="5" t="s">
        <v>110</v>
      </c>
      <c r="I38" s="5" t="s">
        <v>111</v>
      </c>
      <c r="J38" s="5" t="s">
        <v>112</v>
      </c>
      <c r="K38" s="5" t="s">
        <v>113</v>
      </c>
      <c r="L38" s="5" t="s">
        <v>31</v>
      </c>
      <c r="M38" s="6" t="n">
        <f aca="false">SUM($F$38:$F$38)</f>
        <v>600</v>
      </c>
      <c r="N38" s="6" t="n">
        <f aca="false">278.25*350000000000/93600000000000</f>
        <v>1.04046474358974</v>
      </c>
      <c r="O38" s="6" t="n">
        <f aca="false">M38*N38</f>
        <v>624.278846153846</v>
      </c>
      <c r="P38" s="6" t="n">
        <f aca="false">110*5.3*1.12</f>
        <v>652.96</v>
      </c>
      <c r="Q38" s="11" t="n">
        <f aca="false">O38/P38</f>
        <v>0.956075174825175</v>
      </c>
      <c r="R38" s="6" t="n">
        <f aca="false">N38/P38</f>
        <v>0.00159345862470862</v>
      </c>
      <c r="S38" s="5" t="s">
        <v>114</v>
      </c>
      <c r="T38" s="5" t="s">
        <v>115</v>
      </c>
      <c r="U38" s="12"/>
    </row>
    <row r="39" customFormat="false" ht="49.5" hidden="false" customHeight="true" outlineLevel="0" collapsed="false">
      <c r="A39" s="5" t="s">
        <v>116</v>
      </c>
      <c r="B39" s="5" t="s">
        <v>117</v>
      </c>
      <c r="C39" s="5" t="s">
        <v>118</v>
      </c>
      <c r="D39" s="5" t="s">
        <v>24</v>
      </c>
      <c r="E39" s="5" t="s">
        <v>119</v>
      </c>
      <c r="F39" s="6" t="n">
        <v>1</v>
      </c>
      <c r="G39" s="5" t="s">
        <v>26</v>
      </c>
      <c r="H39" s="5" t="s">
        <v>120</v>
      </c>
      <c r="I39" s="5" t="s">
        <v>121</v>
      </c>
      <c r="J39" s="5" t="s">
        <v>122</v>
      </c>
      <c r="K39" s="5" t="s">
        <v>123</v>
      </c>
      <c r="L39" s="5" t="s">
        <v>31</v>
      </c>
      <c r="M39" s="6" t="n">
        <f aca="false">SUM($F$39:$F$39)</f>
        <v>1</v>
      </c>
      <c r="N39" s="6" t="n">
        <v>10</v>
      </c>
      <c r="O39" s="6" t="n">
        <f aca="false">M39*N39</f>
        <v>10</v>
      </c>
      <c r="P39" s="6" t="n">
        <v>15</v>
      </c>
      <c r="Q39" s="11" t="n">
        <f aca="false">O39/P39</f>
        <v>0.666666666666667</v>
      </c>
      <c r="R39" s="6" t="n">
        <f aca="false">N39/P39</f>
        <v>0.666666666666667</v>
      </c>
      <c r="S39" s="5" t="s">
        <v>124</v>
      </c>
      <c r="T39" s="5" t="s">
        <v>125</v>
      </c>
      <c r="U39" s="12" t="s">
        <v>126</v>
      </c>
    </row>
    <row r="40" customFormat="false" ht="49.5" hidden="false" customHeight="true" outlineLevel="0" collapsed="false">
      <c r="A40" s="5" t="s">
        <v>127</v>
      </c>
      <c r="B40" s="5" t="s">
        <v>128</v>
      </c>
      <c r="C40" s="5" t="s">
        <v>129</v>
      </c>
      <c r="D40" s="5" t="s">
        <v>24</v>
      </c>
      <c r="E40" s="5" t="s">
        <v>130</v>
      </c>
      <c r="F40" s="6" t="n">
        <v>15000</v>
      </c>
      <c r="G40" s="5" t="s">
        <v>26</v>
      </c>
      <c r="H40" s="5" t="s">
        <v>131</v>
      </c>
      <c r="I40" s="5" t="s">
        <v>132</v>
      </c>
      <c r="J40" s="5" t="s">
        <v>133</v>
      </c>
      <c r="K40" s="5" t="s">
        <v>134</v>
      </c>
      <c r="L40" s="5" t="s">
        <v>31</v>
      </c>
      <c r="M40" s="6" t="n">
        <f aca="false">SUM($F$40:$F$40)</f>
        <v>15000</v>
      </c>
      <c r="N40" s="6" t="n">
        <v>0.003</v>
      </c>
      <c r="O40" s="6" t="n">
        <f aca="false">M40*N40</f>
        <v>45</v>
      </c>
      <c r="P40" s="6" t="n">
        <v>105</v>
      </c>
      <c r="Q40" s="11" t="n">
        <f aca="false">O40/P40</f>
        <v>0.428571428571429</v>
      </c>
      <c r="R40" s="6" t="n">
        <f aca="false">N40/P40</f>
        <v>2.85714285714286E-005</v>
      </c>
      <c r="S40" s="5" t="s">
        <v>135</v>
      </c>
      <c r="T40" s="5" t="s">
        <v>136</v>
      </c>
      <c r="U40" s="12"/>
    </row>
    <row r="41" customFormat="false" ht="49.5" hidden="false" customHeight="true" outlineLevel="0" collapsed="false">
      <c r="A41" s="5" t="s">
        <v>137</v>
      </c>
      <c r="B41" s="5" t="s">
        <v>138</v>
      </c>
      <c r="C41" s="5" t="s">
        <v>139</v>
      </c>
      <c r="D41" s="5" t="s">
        <v>24</v>
      </c>
      <c r="E41" s="5" t="s">
        <v>140</v>
      </c>
      <c r="F41" s="6" t="n">
        <f aca="false">300*18*8.3E-020/15</f>
        <v>2.988E-017</v>
      </c>
      <c r="G41" s="5" t="s">
        <v>26</v>
      </c>
      <c r="H41" s="5" t="s">
        <v>141</v>
      </c>
      <c r="I41" s="5" t="s">
        <v>142</v>
      </c>
      <c r="J41" s="5" t="s">
        <v>143</v>
      </c>
      <c r="K41" s="5" t="s">
        <v>144</v>
      </c>
      <c r="L41" s="5" t="s">
        <v>31</v>
      </c>
      <c r="M41" s="6" t="n">
        <f aca="false">SUM($F$41:$F$41)</f>
        <v>2.988E-017</v>
      </c>
      <c r="N41" s="6" t="n">
        <v>15</v>
      </c>
      <c r="O41" s="6" t="n">
        <f aca="false">M41*N41</f>
        <v>4.482E-016</v>
      </c>
      <c r="P41" s="6" t="n">
        <f aca="false">300*4.19</f>
        <v>1257</v>
      </c>
      <c r="Q41" s="11" t="n">
        <f aca="false">O41/P41</f>
        <v>3.56563245823389E-019</v>
      </c>
      <c r="R41" s="6" t="n">
        <f aca="false">N41/P41</f>
        <v>0.0119331742243437</v>
      </c>
      <c r="S41" s="5" t="s">
        <v>145</v>
      </c>
      <c r="T41" s="5" t="s">
        <v>146</v>
      </c>
      <c r="U41" s="12"/>
    </row>
    <row r="42" customFormat="false" ht="39.75" hidden="false" customHeight="true" outlineLevel="0" collapsed="false">
      <c r="A42" s="5" t="s">
        <v>147</v>
      </c>
      <c r="B42" s="5" t="s">
        <v>148</v>
      </c>
      <c r="C42" s="5" t="s">
        <v>149</v>
      </c>
      <c r="D42" s="5" t="s">
        <v>24</v>
      </c>
      <c r="E42" s="5" t="s">
        <v>150</v>
      </c>
      <c r="F42" s="6" t="n">
        <v>2.25E-006</v>
      </c>
      <c r="G42" s="5" t="s">
        <v>26</v>
      </c>
      <c r="H42" s="5" t="s">
        <v>151</v>
      </c>
      <c r="I42" s="5" t="s">
        <v>152</v>
      </c>
      <c r="J42" s="5" t="s">
        <v>153</v>
      </c>
      <c r="K42" s="5" t="s">
        <v>154</v>
      </c>
      <c r="L42" s="5" t="s">
        <v>31</v>
      </c>
      <c r="M42" s="6" t="n">
        <f aca="false">SUM($F$42:$F$42)</f>
        <v>2.25E-006</v>
      </c>
      <c r="N42" s="6" t="n">
        <v>1E-005</v>
      </c>
      <c r="O42" s="6" t="n">
        <f aca="false">M42*N42</f>
        <v>2.25E-011</v>
      </c>
      <c r="P42" s="6" t="n">
        <v>1</v>
      </c>
      <c r="Q42" s="11" t="n">
        <f aca="false">O42/P42</f>
        <v>2.25E-011</v>
      </c>
      <c r="R42" s="6" t="n">
        <f aca="false">N42/P42</f>
        <v>1E-005</v>
      </c>
      <c r="S42" s="5" t="s">
        <v>155</v>
      </c>
      <c r="T42" s="5" t="s">
        <v>156</v>
      </c>
      <c r="U42" s="12"/>
    </row>
    <row r="43" customFormat="false" ht="39.75" hidden="false" customHeight="true" outlineLevel="0" collapsed="false">
      <c r="A43" s="5" t="s">
        <v>157</v>
      </c>
      <c r="B43" s="5" t="s">
        <v>148</v>
      </c>
      <c r="C43" s="5" t="s">
        <v>158</v>
      </c>
      <c r="D43" s="5" t="s">
        <v>24</v>
      </c>
      <c r="E43" s="5" t="s">
        <v>150</v>
      </c>
      <c r="F43" s="6" t="n">
        <v>3.9E-008</v>
      </c>
      <c r="G43" s="5" t="s">
        <v>26</v>
      </c>
      <c r="H43" s="5" t="s">
        <v>159</v>
      </c>
      <c r="I43" s="5" t="s">
        <v>160</v>
      </c>
      <c r="J43" s="5" t="s">
        <v>161</v>
      </c>
      <c r="K43" s="5" t="s">
        <v>162</v>
      </c>
      <c r="L43" s="5" t="s">
        <v>31</v>
      </c>
      <c r="M43" s="6" t="n">
        <f aca="false">SUM($F$43:$F$43)</f>
        <v>3.9E-008</v>
      </c>
      <c r="N43" s="6" t="n">
        <v>0.001</v>
      </c>
      <c r="O43" s="6" t="n">
        <f aca="false">M43*N43</f>
        <v>3.9E-011</v>
      </c>
      <c r="P43" s="6" t="n">
        <v>1</v>
      </c>
      <c r="Q43" s="11" t="n">
        <f aca="false">O43/P43</f>
        <v>3.9E-011</v>
      </c>
      <c r="R43" s="6" t="n">
        <f aca="false">N43/P43</f>
        <v>0.001</v>
      </c>
      <c r="S43" s="5" t="s">
        <v>163</v>
      </c>
      <c r="T43" s="5" t="s">
        <v>156</v>
      </c>
      <c r="U43" s="12"/>
    </row>
    <row r="44" customFormat="false" ht="39.75" hidden="false" customHeight="true" outlineLevel="0" collapsed="false">
      <c r="A44" s="5" t="s">
        <v>164</v>
      </c>
      <c r="B44" s="5" t="s">
        <v>165</v>
      </c>
      <c r="C44" s="5" t="s">
        <v>166</v>
      </c>
      <c r="D44" s="5" t="s">
        <v>24</v>
      </c>
      <c r="E44" s="5" t="s">
        <v>167</v>
      </c>
      <c r="F44" s="6" t="n">
        <v>750</v>
      </c>
      <c r="G44" s="5" t="s">
        <v>26</v>
      </c>
      <c r="H44" s="5" t="s">
        <v>168</v>
      </c>
      <c r="I44" s="5" t="s">
        <v>169</v>
      </c>
      <c r="J44" s="5" t="s">
        <v>170</v>
      </c>
      <c r="K44" s="5" t="s">
        <v>171</v>
      </c>
      <c r="L44" s="5" t="s">
        <v>31</v>
      </c>
      <c r="M44" s="6" t="n">
        <f aca="false">SUM($F$44:$F$44)</f>
        <v>750</v>
      </c>
      <c r="N44" s="6" t="n">
        <v>1E-014</v>
      </c>
      <c r="O44" s="6" t="n">
        <f aca="false">M44*N44</f>
        <v>7.5E-012</v>
      </c>
      <c r="P44" s="6" t="n">
        <v>8</v>
      </c>
      <c r="Q44" s="11" t="n">
        <f aca="false">O44/P44</f>
        <v>9.375E-013</v>
      </c>
      <c r="R44" s="6" t="n">
        <f aca="false">N44/P44</f>
        <v>1.25E-015</v>
      </c>
      <c r="S44" s="5" t="s">
        <v>172</v>
      </c>
      <c r="T44" s="5" t="s">
        <v>173</v>
      </c>
      <c r="U44" s="12" t="s">
        <v>126</v>
      </c>
    </row>
    <row r="45" customFormat="false" ht="39.75" hidden="false" customHeight="true" outlineLevel="0" collapsed="false">
      <c r="A45" s="5" t="s">
        <v>174</v>
      </c>
      <c r="B45" s="5" t="s">
        <v>175</v>
      </c>
      <c r="C45" s="5" t="s">
        <v>176</v>
      </c>
      <c r="D45" s="5" t="s">
        <v>24</v>
      </c>
      <c r="E45" s="5" t="s">
        <v>177</v>
      </c>
      <c r="F45" s="6" t="n">
        <v>0.00015</v>
      </c>
      <c r="G45" s="5" t="s">
        <v>26</v>
      </c>
      <c r="H45" s="5" t="s">
        <v>178</v>
      </c>
      <c r="I45" s="5" t="s">
        <v>179</v>
      </c>
      <c r="J45" s="5" t="s">
        <v>180</v>
      </c>
      <c r="K45" s="5" t="s">
        <v>181</v>
      </c>
      <c r="L45" s="5" t="s">
        <v>31</v>
      </c>
      <c r="M45" s="6" t="n">
        <f aca="false">SUM($F$45:$F$45)</f>
        <v>0.00015</v>
      </c>
      <c r="N45" s="6" t="n">
        <v>0.1</v>
      </c>
      <c r="O45" s="6" t="n">
        <f aca="false">M45*N45</f>
        <v>1.5E-005</v>
      </c>
      <c r="P45" s="6" t="n">
        <v>1</v>
      </c>
      <c r="Q45" s="11" t="n">
        <f aca="false">O45/P45</f>
        <v>1.5E-005</v>
      </c>
      <c r="R45" s="6" t="n">
        <f aca="false">N45/P45</f>
        <v>0.1</v>
      </c>
      <c r="S45" s="5" t="s">
        <v>182</v>
      </c>
      <c r="T45" s="5" t="s">
        <v>183</v>
      </c>
      <c r="U45" s="12"/>
    </row>
    <row r="46" customFormat="false" ht="49.5" hidden="false" customHeight="true" outlineLevel="0" collapsed="false">
      <c r="A46" s="5" t="s">
        <v>184</v>
      </c>
      <c r="B46" s="5" t="s">
        <v>185</v>
      </c>
      <c r="C46" s="5" t="s">
        <v>186</v>
      </c>
      <c r="D46" s="5" t="s">
        <v>24</v>
      </c>
      <c r="E46" s="5" t="s">
        <v>187</v>
      </c>
      <c r="F46" s="6" t="n">
        <v>1E-012</v>
      </c>
      <c r="G46" s="5" t="s">
        <v>26</v>
      </c>
      <c r="H46" s="5" t="s">
        <v>188</v>
      </c>
      <c r="I46" s="5" t="s">
        <v>189</v>
      </c>
      <c r="J46" s="5" t="s">
        <v>190</v>
      </c>
      <c r="K46" s="5" t="s">
        <v>191</v>
      </c>
      <c r="L46" s="5" t="s">
        <v>31</v>
      </c>
      <c r="M46" s="6" t="n">
        <f aca="false">SUM($F$46:$F$46)</f>
        <v>1E-012</v>
      </c>
      <c r="N46" s="6" t="n">
        <v>1</v>
      </c>
      <c r="O46" s="6" t="n">
        <f aca="false">M46*N46</f>
        <v>1E-012</v>
      </c>
      <c r="P46" s="6" t="n">
        <v>1</v>
      </c>
      <c r="Q46" s="11" t="n">
        <f aca="false">O46/P46</f>
        <v>1E-012</v>
      </c>
      <c r="R46" s="6" t="n">
        <f aca="false">N46/P46</f>
        <v>1</v>
      </c>
      <c r="S46" s="5" t="s">
        <v>192</v>
      </c>
      <c r="T46" s="5" t="s">
        <v>193</v>
      </c>
      <c r="U46" s="12"/>
    </row>
    <row r="47" customFormat="false" ht="49.5" hidden="false" customHeight="true" outlineLevel="0" collapsed="false">
      <c r="A47" s="5" t="s">
        <v>194</v>
      </c>
      <c r="B47" s="5" t="s">
        <v>195</v>
      </c>
      <c r="C47" s="5" t="s">
        <v>196</v>
      </c>
      <c r="D47" s="5" t="s">
        <v>24</v>
      </c>
      <c r="E47" s="5" t="s">
        <v>197</v>
      </c>
      <c r="F47" s="6" t="n">
        <v>10.6</v>
      </c>
      <c r="G47" s="5" t="s">
        <v>26</v>
      </c>
      <c r="H47" s="5" t="s">
        <v>198</v>
      </c>
      <c r="I47" s="5" t="s">
        <v>199</v>
      </c>
      <c r="J47" s="5" t="s">
        <v>200</v>
      </c>
      <c r="K47" s="5" t="s">
        <v>201</v>
      </c>
      <c r="L47" s="5" t="s">
        <v>31</v>
      </c>
      <c r="M47" s="6" t="n">
        <f aca="false">SUM($F$47:$F$47)</f>
        <v>10.6</v>
      </c>
      <c r="N47" s="6" t="n">
        <v>2</v>
      </c>
      <c r="O47" s="6" t="n">
        <f aca="false">M47*N47</f>
        <v>21.2</v>
      </c>
      <c r="P47" s="6" t="n">
        <v>1</v>
      </c>
      <c r="Q47" s="11" t="n">
        <f aca="false">O47/P47</f>
        <v>21.2</v>
      </c>
      <c r="R47" s="6" t="n">
        <f aca="false">N47/P47</f>
        <v>2</v>
      </c>
      <c r="S47" s="5" t="s">
        <v>202</v>
      </c>
      <c r="T47" s="5" t="s">
        <v>195</v>
      </c>
      <c r="U47" s="12"/>
    </row>
    <row r="48" customFormat="false" ht="39.75" hidden="false" customHeight="true" outlineLevel="0" collapsed="false">
      <c r="A48" s="5" t="s">
        <v>203</v>
      </c>
      <c r="B48" s="5" t="s">
        <v>195</v>
      </c>
      <c r="C48" s="5" t="s">
        <v>204</v>
      </c>
      <c r="D48" s="5" t="s">
        <v>24</v>
      </c>
      <c r="E48" s="5" t="s">
        <v>205</v>
      </c>
      <c r="F48" s="6" t="n">
        <v>0.000336</v>
      </c>
      <c r="G48" s="5" t="s">
        <v>26</v>
      </c>
      <c r="H48" s="5" t="s">
        <v>206</v>
      </c>
      <c r="I48" s="5" t="s">
        <v>207</v>
      </c>
      <c r="J48" s="5" t="s">
        <v>208</v>
      </c>
      <c r="K48" s="5" t="s">
        <v>209</v>
      </c>
      <c r="L48" s="5" t="s">
        <v>31</v>
      </c>
      <c r="M48" s="6" t="n">
        <f aca="false">SUM($F$48:$F$48)</f>
        <v>0.000336</v>
      </c>
      <c r="N48" s="6" t="n">
        <v>0.2</v>
      </c>
      <c r="O48" s="6" t="n">
        <f aca="false">M48*N48</f>
        <v>6.72E-005</v>
      </c>
      <c r="P48" s="6" t="n">
        <v>3</v>
      </c>
      <c r="Q48" s="11" t="n">
        <f aca="false">O48/P48</f>
        <v>2.24E-005</v>
      </c>
      <c r="R48" s="6" t="n">
        <f aca="false">N48/P48</f>
        <v>0.0666666666666667</v>
      </c>
      <c r="S48" s="5" t="s">
        <v>210</v>
      </c>
      <c r="T48" s="5" t="s">
        <v>195</v>
      </c>
      <c r="U48" s="12"/>
    </row>
    <row r="49" customFormat="false" ht="39.75" hidden="false" customHeight="true" outlineLevel="0" collapsed="false">
      <c r="A49" s="5" t="s">
        <v>211</v>
      </c>
      <c r="B49" s="5" t="s">
        <v>195</v>
      </c>
      <c r="C49" s="5" t="s">
        <v>212</v>
      </c>
      <c r="D49" s="5" t="s">
        <v>24</v>
      </c>
      <c r="E49" s="5" t="s">
        <v>213</v>
      </c>
      <c r="F49" s="6" t="n">
        <v>0.001</v>
      </c>
      <c r="G49" s="5" t="s">
        <v>26</v>
      </c>
      <c r="H49" s="5" t="s">
        <v>214</v>
      </c>
      <c r="I49" s="5" t="s">
        <v>215</v>
      </c>
      <c r="J49" s="5" t="s">
        <v>216</v>
      </c>
      <c r="K49" s="5" t="s">
        <v>217</v>
      </c>
      <c r="L49" s="5" t="s">
        <v>31</v>
      </c>
      <c r="M49" s="6" t="n">
        <f aca="false">SUM($F$49:$F$49)</f>
        <v>0.001</v>
      </c>
      <c r="N49" s="6" t="n">
        <v>0.15</v>
      </c>
      <c r="O49" s="6" t="n">
        <f aca="false">M49*N49</f>
        <v>0.00015</v>
      </c>
      <c r="P49" s="6" t="n">
        <v>3</v>
      </c>
      <c r="Q49" s="11" t="n">
        <f aca="false">O49/P49</f>
        <v>5E-005</v>
      </c>
      <c r="R49" s="6" t="n">
        <f aca="false">N49/P49</f>
        <v>0.05</v>
      </c>
      <c r="S49" s="5" t="s">
        <v>218</v>
      </c>
      <c r="T49" s="5" t="s">
        <v>195</v>
      </c>
      <c r="U49" s="12"/>
    </row>
    <row r="50" customFormat="false" ht="39.75" hidden="false" customHeight="true" outlineLevel="0" collapsed="false">
      <c r="A50" s="5" t="s">
        <v>219</v>
      </c>
      <c r="B50" s="5" t="s">
        <v>220</v>
      </c>
      <c r="C50" s="5" t="s">
        <v>221</v>
      </c>
      <c r="D50" s="5" t="s">
        <v>24</v>
      </c>
      <c r="E50" s="5" t="s">
        <v>222</v>
      </c>
      <c r="F50" s="6" t="n">
        <v>210000</v>
      </c>
      <c r="G50" s="5" t="s">
        <v>26</v>
      </c>
      <c r="H50" s="5" t="s">
        <v>223</v>
      </c>
      <c r="I50" s="5" t="s">
        <v>224</v>
      </c>
      <c r="J50" s="5" t="s">
        <v>225</v>
      </c>
      <c r="K50" s="5" t="s">
        <v>226</v>
      </c>
      <c r="L50" s="5" t="s">
        <v>31</v>
      </c>
      <c r="M50" s="6" t="n">
        <f aca="false">SUM($F$50:$F$50)</f>
        <v>210000</v>
      </c>
      <c r="N50" s="6" t="n">
        <v>0.0002</v>
      </c>
      <c r="O50" s="6" t="n">
        <f aca="false">M50*N50</f>
        <v>42</v>
      </c>
      <c r="P50" s="6" t="n">
        <v>33.22</v>
      </c>
      <c r="Q50" s="11" t="n">
        <f aca="false">O50/P50</f>
        <v>1.26429861529199</v>
      </c>
      <c r="R50" s="6" t="n">
        <f aca="false">N50/P50</f>
        <v>6.02046959662854E-006</v>
      </c>
      <c r="S50" s="5" t="s">
        <v>163</v>
      </c>
      <c r="T50" s="5" t="s">
        <v>227</v>
      </c>
      <c r="U50" s="12" t="s">
        <v>228</v>
      </c>
    </row>
    <row r="51" customFormat="false" ht="39.75" hidden="false" customHeight="true" outlineLevel="0" collapsed="false">
      <c r="A51" s="13" t="s">
        <v>229</v>
      </c>
      <c r="B51" s="13" t="s">
        <v>230</v>
      </c>
      <c r="C51" s="13" t="s">
        <v>231</v>
      </c>
      <c r="D51" s="13" t="s">
        <v>24</v>
      </c>
      <c r="E51" s="13" t="s">
        <v>232</v>
      </c>
      <c r="F51" s="14" t="n">
        <v>5400</v>
      </c>
      <c r="G51" s="13" t="s">
        <v>26</v>
      </c>
      <c r="H51" s="13" t="s">
        <v>233</v>
      </c>
      <c r="I51" s="13" t="s">
        <v>234</v>
      </c>
      <c r="J51" s="13" t="s">
        <v>235</v>
      </c>
      <c r="K51" s="13" t="s">
        <v>236</v>
      </c>
      <c r="L51" s="13" t="s">
        <v>31</v>
      </c>
      <c r="M51" s="14" t="n">
        <f aca="false">SUM($F$51:$F$51)</f>
        <v>5400</v>
      </c>
      <c r="N51" s="14" t="n">
        <v>0.2</v>
      </c>
      <c r="O51" s="14" t="n">
        <f aca="false">M51*N51</f>
        <v>1080</v>
      </c>
      <c r="P51" s="14" t="n">
        <v>36.54</v>
      </c>
      <c r="Q51" s="15" t="n">
        <f aca="false">O51/P51</f>
        <v>29.5566502463054</v>
      </c>
      <c r="R51" s="14" t="n">
        <f aca="false">N51/P51</f>
        <v>0.00547345374931582</v>
      </c>
      <c r="S51" s="13" t="s">
        <v>237</v>
      </c>
      <c r="T51" s="13" t="s">
        <v>238</v>
      </c>
      <c r="U51" s="16"/>
    </row>
    <row r="52" customFormat="false" ht="49.5" hidden="false" customHeight="true" outlineLevel="0" collapsed="false"/>
    <row r="53" customFormat="false" ht="60" hidden="false" customHeight="true" outlineLevel="0" collapsed="false"/>
    <row r="54" customFormat="false" ht="60" hidden="false" customHeight="true" outlineLevel="0" collapsed="false"/>
  </sheetData>
  <mergeCells count="104">
    <mergeCell ref="A2:A8"/>
    <mergeCell ref="C2:C8"/>
    <mergeCell ref="D2:D8"/>
    <mergeCell ref="E2:E8"/>
    <mergeCell ref="M2:M8"/>
    <mergeCell ref="N2:N8"/>
    <mergeCell ref="O2:O8"/>
    <mergeCell ref="P2:P8"/>
    <mergeCell ref="Q2:Q8"/>
    <mergeCell ref="R2:R8"/>
    <mergeCell ref="S2:S8"/>
    <mergeCell ref="T2:T8"/>
    <mergeCell ref="U2:U8"/>
    <mergeCell ref="A9:A10"/>
    <mergeCell ref="C9:C10"/>
    <mergeCell ref="D9:D10"/>
    <mergeCell ref="E9:E10"/>
    <mergeCell ref="M9:M10"/>
    <mergeCell ref="N9:N10"/>
    <mergeCell ref="O9:O10"/>
    <mergeCell ref="P9:P10"/>
    <mergeCell ref="Q9:Q10"/>
    <mergeCell ref="R9:R10"/>
    <mergeCell ref="S9:S10"/>
    <mergeCell ref="T9:T10"/>
    <mergeCell ref="U9:U10"/>
    <mergeCell ref="A11:A17"/>
    <mergeCell ref="C11:C17"/>
    <mergeCell ref="D11:D17"/>
    <mergeCell ref="E11:E17"/>
    <mergeCell ref="M11:M17"/>
    <mergeCell ref="N11:N17"/>
    <mergeCell ref="O11:O17"/>
    <mergeCell ref="P11:P17"/>
    <mergeCell ref="Q11:Q17"/>
    <mergeCell ref="R11:R17"/>
    <mergeCell ref="S11:S17"/>
    <mergeCell ref="T11:T17"/>
    <mergeCell ref="U11:U17"/>
    <mergeCell ref="A18:A19"/>
    <mergeCell ref="C18:C19"/>
    <mergeCell ref="D18:D19"/>
    <mergeCell ref="E18:E19"/>
    <mergeCell ref="M18:M19"/>
    <mergeCell ref="N18:N19"/>
    <mergeCell ref="O18:O19"/>
    <mergeCell ref="P18:P19"/>
    <mergeCell ref="Q18:Q19"/>
    <mergeCell ref="R18:R19"/>
    <mergeCell ref="S18:S19"/>
    <mergeCell ref="T18:T19"/>
    <mergeCell ref="U18:U19"/>
    <mergeCell ref="A20:A26"/>
    <mergeCell ref="C20:C26"/>
    <mergeCell ref="D20:D26"/>
    <mergeCell ref="E20:E26"/>
    <mergeCell ref="M20:M26"/>
    <mergeCell ref="N20:N26"/>
    <mergeCell ref="O20:O26"/>
    <mergeCell ref="P20:P26"/>
    <mergeCell ref="Q20:Q26"/>
    <mergeCell ref="R20:R26"/>
    <mergeCell ref="S20:S26"/>
    <mergeCell ref="T20:T26"/>
    <mergeCell ref="U20:U26"/>
    <mergeCell ref="A27:A28"/>
    <mergeCell ref="C27:C28"/>
    <mergeCell ref="D27:D28"/>
    <mergeCell ref="E27:E28"/>
    <mergeCell ref="M27:M28"/>
    <mergeCell ref="N27:N28"/>
    <mergeCell ref="O27:O28"/>
    <mergeCell ref="P27:P28"/>
    <mergeCell ref="Q27:Q28"/>
    <mergeCell ref="R27:R28"/>
    <mergeCell ref="S27:S28"/>
    <mergeCell ref="T27:T28"/>
    <mergeCell ref="U27:U28"/>
    <mergeCell ref="A29:A35"/>
    <mergeCell ref="C29:C35"/>
    <mergeCell ref="D29:D35"/>
    <mergeCell ref="E29:E35"/>
    <mergeCell ref="M29:M35"/>
    <mergeCell ref="N29:N35"/>
    <mergeCell ref="O29:O35"/>
    <mergeCell ref="P29:P35"/>
    <mergeCell ref="Q29:Q35"/>
    <mergeCell ref="R29:R35"/>
    <mergeCell ref="S29:S35"/>
    <mergeCell ref="T29:T35"/>
    <mergeCell ref="U29:U35"/>
    <mergeCell ref="A36:A37"/>
    <mergeCell ref="C36:C37"/>
    <mergeCell ref="D36:D37"/>
    <mergeCell ref="E36:E37"/>
    <mergeCell ref="M36:M37"/>
    <mergeCell ref="N36:N37"/>
    <mergeCell ref="O36:O37"/>
    <mergeCell ref="P36:P37"/>
    <mergeCell ref="Q36:Q37"/>
    <mergeCell ref="R36:R37"/>
    <mergeCell ref="S36:S37"/>
    <mergeCell ref="T36:T37"/>
    <mergeCell ref="U36:U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2"/>
  <sheetViews>
    <sheetView showFormulas="false" showGridLines="true" showRowColHeaders="true" showZeros="true" rightToLeft="false" tabSelected="false" showOutlineSymbols="true" defaultGridColor="true" view="normal" topLeftCell="A1" colorId="64" zoomScale="89" zoomScaleNormal="89" zoomScalePageLayoutView="100" workbookViewId="0">
      <pane xSplit="0" ySplit="1" topLeftCell="A2" activePane="bottomLeft" state="frozen"/>
      <selection pane="topLeft" activeCell="A1" activeCellId="0" sqref="A1"/>
      <selection pane="bottomLeft" activeCell="B8" activeCellId="0" sqref="B8"/>
    </sheetView>
  </sheetViews>
  <sheetFormatPr defaultColWidth="8.6328125" defaultRowHeight="14.25" zeroHeight="false" outlineLevelRow="0" outlineLevelCol="0"/>
  <cols>
    <col collapsed="false" customWidth="true" hidden="false" outlineLevel="0" max="1" min="1" style="1" width="34"/>
    <col collapsed="false" customWidth="true" hidden="false" outlineLevel="0" max="2" min="2" style="1" width="30"/>
    <col collapsed="false" customWidth="true" hidden="false" outlineLevel="0" max="3" min="3" style="1" width="95"/>
  </cols>
  <sheetData>
    <row r="1" customFormat="false" ht="30" hidden="false" customHeight="true" outlineLevel="0" collapsed="false">
      <c r="A1" s="17" t="s">
        <v>239</v>
      </c>
      <c r="B1" s="17" t="s">
        <v>240</v>
      </c>
      <c r="C1" s="17" t="s">
        <v>241</v>
      </c>
    </row>
    <row r="2" customFormat="false" ht="57.75" hidden="false" customHeight="true" outlineLevel="0" collapsed="false">
      <c r="A2" s="18" t="s">
        <v>242</v>
      </c>
      <c r="B2" s="19" t="s">
        <v>243</v>
      </c>
      <c r="C2" s="18" t="s">
        <v>244</v>
      </c>
    </row>
    <row r="3" customFormat="false" ht="57.75" hidden="false" customHeight="true" outlineLevel="0" collapsed="false">
      <c r="A3" s="18" t="s">
        <v>242</v>
      </c>
      <c r="B3" s="19" t="s">
        <v>245</v>
      </c>
      <c r="C3" s="18" t="s">
        <v>246</v>
      </c>
    </row>
    <row r="4" customFormat="false" ht="57.75" hidden="false" customHeight="true" outlineLevel="0" collapsed="false">
      <c r="A4" s="18" t="s">
        <v>242</v>
      </c>
      <c r="B4" s="19" t="s">
        <v>247</v>
      </c>
      <c r="C4" s="18" t="s">
        <v>248</v>
      </c>
    </row>
    <row r="5" customFormat="false" ht="57.75" hidden="false" customHeight="true" outlineLevel="0" collapsed="false">
      <c r="A5" s="18" t="s">
        <v>242</v>
      </c>
      <c r="B5" s="20" t="s">
        <v>249</v>
      </c>
      <c r="C5" s="18" t="s">
        <v>250</v>
      </c>
    </row>
    <row r="6" customFormat="false" ht="57.75" hidden="false" customHeight="true" outlineLevel="0" collapsed="false">
      <c r="A6" s="18" t="s">
        <v>242</v>
      </c>
      <c r="B6" s="20" t="s">
        <v>251</v>
      </c>
      <c r="C6" s="18" t="s">
        <v>252</v>
      </c>
    </row>
    <row r="7" customFormat="false" ht="57.75" hidden="false" customHeight="true" outlineLevel="0" collapsed="false">
      <c r="A7" s="18" t="s">
        <v>242</v>
      </c>
      <c r="B7" s="20" t="s">
        <v>253</v>
      </c>
      <c r="C7" s="18" t="s">
        <v>254</v>
      </c>
    </row>
    <row r="8" customFormat="false" ht="57.75" hidden="false" customHeight="true" outlineLevel="0" collapsed="false">
      <c r="A8" s="18" t="s">
        <v>255</v>
      </c>
      <c r="B8" s="20" t="s">
        <v>256</v>
      </c>
      <c r="C8" s="18" t="s">
        <v>257</v>
      </c>
    </row>
    <row r="9" customFormat="false" ht="57.75" hidden="false" customHeight="true" outlineLevel="0" collapsed="false">
      <c r="A9" s="18" t="s">
        <v>255</v>
      </c>
      <c r="B9" s="20" t="s">
        <v>258</v>
      </c>
      <c r="C9" s="18" t="s">
        <v>259</v>
      </c>
    </row>
    <row r="10" customFormat="false" ht="57.75" hidden="false" customHeight="true" outlineLevel="0" collapsed="false">
      <c r="A10" s="18" t="s">
        <v>260</v>
      </c>
      <c r="B10" s="19" t="s">
        <v>261</v>
      </c>
      <c r="C10" s="18" t="s">
        <v>262</v>
      </c>
    </row>
    <row r="11" customFormat="false" ht="57.75" hidden="false" customHeight="true" outlineLevel="0" collapsed="false">
      <c r="A11" s="18" t="s">
        <v>263</v>
      </c>
      <c r="B11" s="20" t="s">
        <v>264</v>
      </c>
      <c r="C11" s="18" t="s">
        <v>265</v>
      </c>
    </row>
    <row r="12" customFormat="false" ht="57.75" hidden="false" customHeight="true" outlineLevel="0" collapsed="false">
      <c r="A12" s="18" t="s">
        <v>263</v>
      </c>
      <c r="B12" s="20" t="s">
        <v>266</v>
      </c>
      <c r="C12" s="18" t="s">
        <v>267</v>
      </c>
    </row>
    <row r="13" customFormat="false" ht="57.75" hidden="false" customHeight="true" outlineLevel="0" collapsed="false">
      <c r="A13" s="18" t="s">
        <v>263</v>
      </c>
      <c r="B13" s="20" t="s">
        <v>268</v>
      </c>
      <c r="C13" s="18" t="s">
        <v>269</v>
      </c>
    </row>
    <row r="14" customFormat="false" ht="57.75" hidden="false" customHeight="true" outlineLevel="0" collapsed="false">
      <c r="A14" s="18" t="s">
        <v>270</v>
      </c>
      <c r="B14" s="19" t="s">
        <v>271</v>
      </c>
      <c r="C14" s="18" t="s">
        <v>272</v>
      </c>
    </row>
    <row r="15" customFormat="false" ht="57.75" hidden="false" customHeight="true" outlineLevel="0" collapsed="false">
      <c r="A15" s="18" t="s">
        <v>270</v>
      </c>
      <c r="B15" s="20" t="s">
        <v>273</v>
      </c>
      <c r="C15" s="18" t="s">
        <v>274</v>
      </c>
    </row>
    <row r="16" customFormat="false" ht="57.75" hidden="false" customHeight="true" outlineLevel="0" collapsed="false">
      <c r="A16" s="18" t="s">
        <v>270</v>
      </c>
      <c r="B16" s="19" t="s">
        <v>275</v>
      </c>
      <c r="C16" s="18" t="s">
        <v>276</v>
      </c>
    </row>
    <row r="17" customFormat="false" ht="57.75" hidden="false" customHeight="true" outlineLevel="0" collapsed="false">
      <c r="A17" s="18" t="s">
        <v>270</v>
      </c>
      <c r="B17" s="19" t="s">
        <v>277</v>
      </c>
      <c r="C17" s="18" t="s">
        <v>278</v>
      </c>
    </row>
    <row r="18" customFormat="false" ht="57.75" hidden="false" customHeight="true" outlineLevel="0" collapsed="false">
      <c r="A18" s="18" t="s">
        <v>279</v>
      </c>
      <c r="B18" s="19" t="s">
        <v>280</v>
      </c>
      <c r="C18" s="18" t="s">
        <v>281</v>
      </c>
    </row>
    <row r="19" customFormat="false" ht="57.75" hidden="false" customHeight="true" outlineLevel="0" collapsed="false">
      <c r="A19" s="18" t="s">
        <v>279</v>
      </c>
      <c r="B19" s="19" t="s">
        <v>282</v>
      </c>
      <c r="C19" s="18" t="s">
        <v>283</v>
      </c>
    </row>
    <row r="20" customFormat="false" ht="57.75" hidden="false" customHeight="true" outlineLevel="0" collapsed="false">
      <c r="A20" s="18" t="s">
        <v>279</v>
      </c>
      <c r="B20" s="20" t="s">
        <v>284</v>
      </c>
      <c r="C20" s="18" t="s">
        <v>285</v>
      </c>
    </row>
    <row r="21" customFormat="false" ht="57.75" hidden="false" customHeight="true" outlineLevel="0" collapsed="false">
      <c r="A21" s="18" t="s">
        <v>286</v>
      </c>
      <c r="B21" s="20" t="s">
        <v>287</v>
      </c>
      <c r="C21" s="18" t="s">
        <v>288</v>
      </c>
    </row>
    <row r="22" customFormat="false" ht="57.75" hidden="false" customHeight="true" outlineLevel="0" collapsed="false">
      <c r="A22" s="18" t="s">
        <v>286</v>
      </c>
      <c r="B22" s="19" t="s">
        <v>289</v>
      </c>
      <c r="C22" s="18" t="s">
        <v>290</v>
      </c>
    </row>
    <row r="23" customFormat="false" ht="57.75" hidden="false" customHeight="true" outlineLevel="0" collapsed="false">
      <c r="A23" s="18" t="s">
        <v>291</v>
      </c>
      <c r="B23" s="19" t="s">
        <v>292</v>
      </c>
      <c r="C23" s="18" t="s">
        <v>293</v>
      </c>
    </row>
    <row r="24" customFormat="false" ht="57.75" hidden="false" customHeight="true" outlineLevel="0" collapsed="false">
      <c r="A24" s="18" t="s">
        <v>291</v>
      </c>
      <c r="B24" s="20" t="s">
        <v>294</v>
      </c>
      <c r="C24" s="18" t="s">
        <v>295</v>
      </c>
    </row>
    <row r="25" customFormat="false" ht="57.75" hidden="false" customHeight="true" outlineLevel="0" collapsed="false">
      <c r="A25" s="18" t="s">
        <v>296</v>
      </c>
      <c r="B25" s="20" t="s">
        <v>297</v>
      </c>
      <c r="C25" s="18" t="s">
        <v>298</v>
      </c>
    </row>
    <row r="26" customFormat="false" ht="57.75" hidden="false" customHeight="true" outlineLevel="0" collapsed="false">
      <c r="A26" s="18" t="s">
        <v>299</v>
      </c>
      <c r="B26" s="20" t="s">
        <v>300</v>
      </c>
      <c r="C26" s="18" t="s">
        <v>301</v>
      </c>
    </row>
    <row r="27" customFormat="false" ht="57.75" hidden="false" customHeight="true" outlineLevel="0" collapsed="false">
      <c r="A27" s="18" t="s">
        <v>299</v>
      </c>
      <c r="B27" s="19" t="s">
        <v>302</v>
      </c>
      <c r="C27" s="18" t="s">
        <v>303</v>
      </c>
    </row>
    <row r="28" customFormat="false" ht="57.75" hidden="false" customHeight="true" outlineLevel="0" collapsed="false">
      <c r="A28" s="18" t="s">
        <v>304</v>
      </c>
      <c r="B28" s="20" t="s">
        <v>305</v>
      </c>
      <c r="C28" s="18" t="s">
        <v>306</v>
      </c>
    </row>
    <row r="29" customFormat="false" ht="57.75" hidden="false" customHeight="true" outlineLevel="0" collapsed="false">
      <c r="A29" s="18" t="s">
        <v>307</v>
      </c>
      <c r="B29" s="20" t="s">
        <v>308</v>
      </c>
      <c r="C29" s="18" t="s">
        <v>309</v>
      </c>
    </row>
    <row r="30" customFormat="false" ht="57.75" hidden="false" customHeight="true" outlineLevel="0" collapsed="false">
      <c r="A30" s="18" t="s">
        <v>310</v>
      </c>
      <c r="B30" s="20" t="s">
        <v>311</v>
      </c>
      <c r="C30" s="18" t="s">
        <v>312</v>
      </c>
    </row>
    <row r="31" customFormat="false" ht="57.75" hidden="false" customHeight="true" outlineLevel="0" collapsed="false">
      <c r="A31" s="18" t="s">
        <v>310</v>
      </c>
      <c r="B31" s="20" t="s">
        <v>313</v>
      </c>
      <c r="C31" s="18" t="s">
        <v>314</v>
      </c>
    </row>
    <row r="32" customFormat="false" ht="57.75" hidden="false" customHeight="true" outlineLevel="0" collapsed="false">
      <c r="A32" s="18" t="s">
        <v>315</v>
      </c>
      <c r="B32" s="19" t="s">
        <v>316</v>
      </c>
      <c r="C32" s="18" t="s">
        <v>317</v>
      </c>
    </row>
    <row r="33" customFormat="false" ht="57.75" hidden="false" customHeight="true" outlineLevel="0" collapsed="false">
      <c r="A33" s="18" t="s">
        <v>315</v>
      </c>
      <c r="B33" s="19" t="s">
        <v>318</v>
      </c>
      <c r="C33" s="18" t="s">
        <v>319</v>
      </c>
    </row>
    <row r="34" customFormat="false" ht="57.75" hidden="false" customHeight="true" outlineLevel="0" collapsed="false">
      <c r="A34" s="18" t="s">
        <v>320</v>
      </c>
      <c r="B34" s="20" t="s">
        <v>321</v>
      </c>
      <c r="C34" s="18" t="s">
        <v>322</v>
      </c>
    </row>
    <row r="35" customFormat="false" ht="57.75" hidden="false" customHeight="true" outlineLevel="0" collapsed="false">
      <c r="A35" s="18" t="s">
        <v>320</v>
      </c>
      <c r="B35" s="19" t="s">
        <v>323</v>
      </c>
      <c r="C35" s="18" t="s">
        <v>324</v>
      </c>
    </row>
    <row r="36" customFormat="false" ht="57.75" hidden="false" customHeight="true" outlineLevel="0" collapsed="false">
      <c r="A36" s="18" t="s">
        <v>320</v>
      </c>
      <c r="B36" s="20" t="s">
        <v>325</v>
      </c>
      <c r="C36" s="18" t="s">
        <v>326</v>
      </c>
    </row>
    <row r="37" customFormat="false" ht="57.75" hidden="false" customHeight="true" outlineLevel="0" collapsed="false">
      <c r="A37" s="18" t="s">
        <v>327</v>
      </c>
      <c r="B37" s="20" t="s">
        <v>328</v>
      </c>
      <c r="C37" s="18" t="s">
        <v>329</v>
      </c>
    </row>
    <row r="38" customFormat="false" ht="57.75" hidden="false" customHeight="true" outlineLevel="0" collapsed="false">
      <c r="A38" s="18" t="s">
        <v>327</v>
      </c>
      <c r="B38" s="20" t="s">
        <v>330</v>
      </c>
      <c r="C38" s="18" t="s">
        <v>331</v>
      </c>
    </row>
    <row r="39" customFormat="false" ht="57.75" hidden="false" customHeight="true" outlineLevel="0" collapsed="false">
      <c r="A39" s="18" t="s">
        <v>327</v>
      </c>
      <c r="B39" s="20" t="s">
        <v>332</v>
      </c>
      <c r="C39" s="18" t="s">
        <v>333</v>
      </c>
    </row>
    <row r="40" customFormat="false" ht="21.75" hidden="false" customHeight="true" outlineLevel="0" collapsed="false">
      <c r="A40" s="18" t="s">
        <v>334</v>
      </c>
      <c r="B40" s="20" t="s">
        <v>335</v>
      </c>
      <c r="C40" s="18" t="s">
        <v>336</v>
      </c>
    </row>
    <row r="41" customFormat="false" ht="21.75" hidden="false" customHeight="true" outlineLevel="0" collapsed="false">
      <c r="A41" s="18" t="s">
        <v>334</v>
      </c>
      <c r="B41" s="20" t="s">
        <v>337</v>
      </c>
      <c r="C41" s="18" t="s">
        <v>338</v>
      </c>
    </row>
    <row r="42" customFormat="false" ht="21.75" hidden="false" customHeight="true" outlineLevel="0" collapsed="false">
      <c r="A42" s="18" t="s">
        <v>334</v>
      </c>
      <c r="B42" s="20" t="s">
        <v>339</v>
      </c>
      <c r="C42" s="18" t="s">
        <v>340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2026-08-01T20:22:28Z</dcterms:created>
  <dc:creator>openpyxl</dc:creator>
  <dc:description/>
  <dc:language>en-US</dc:language>
  <cp:lastModifiedBy>Walker Bigelow</cp:lastModifiedBy>
  <dcterms:modified xsi:type="dcterms:W3CDTF">2026-08-16T15:44:16Z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